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03. 개인\순례자길\도카이도 여행 일정\"/>
    </mc:Choice>
  </mc:AlternateContent>
  <xr:revisionPtr revIDLastSave="0" documentId="13_ncr:1_{A89B525A-37B1-4962-AE2A-2651AFBDC74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전체 일정" sheetId="1" r:id="rId1"/>
    <sheet name="이동 상세" sheetId="2" r:id="rId2"/>
    <sheet name="여행 전 알아둘 것" sheetId="4" r:id="rId3"/>
    <sheet name="일본어" sheetId="5" r:id="rId4"/>
    <sheet name="경로 좌표" sheetId="3" r:id="rId5"/>
  </sheets>
  <definedNames>
    <definedName name="_xlnm.Print_Titles" localSheetId="4">'경로 좌표'!$5:$5</definedName>
    <definedName name="_xlnm.Print_Titles" localSheetId="2">'여행 전 알아둘 것'!$4:$4</definedName>
    <definedName name="_xlnm.Print_Titles" localSheetId="1">'이동 상세'!$5:$5</definedName>
    <definedName name="_xlnm.Print_Titles" localSheetId="3">일본어!$4:$4</definedName>
    <definedName name="_xlnm.Print_Titles" localSheetId="0">'전체 일정'!$4:$4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3" l="1"/>
  <c r="N24" i="3" s="1"/>
  <c r="C24" i="3"/>
  <c r="D23" i="3"/>
  <c r="N23" i="3" s="1"/>
  <c r="C23" i="3"/>
  <c r="N22" i="3"/>
  <c r="M22" i="3" s="1"/>
  <c r="N21" i="3"/>
  <c r="D21" i="3"/>
  <c r="C21" i="3"/>
  <c r="N20" i="3"/>
  <c r="M20" i="3"/>
  <c r="N19" i="3"/>
  <c r="M19" i="3" s="1"/>
  <c r="N18" i="3"/>
  <c r="M18" i="3" s="1"/>
  <c r="D17" i="3"/>
  <c r="N17" i="3" s="1"/>
  <c r="C17" i="3"/>
  <c r="D16" i="3"/>
  <c r="N16" i="3" s="1"/>
  <c r="C16" i="3"/>
  <c r="N15" i="3"/>
  <c r="M15" i="3" s="1"/>
  <c r="D14" i="3"/>
  <c r="N14" i="3" s="1"/>
  <c r="C14" i="3"/>
  <c r="D13" i="3"/>
  <c r="N13" i="3" s="1"/>
  <c r="C13" i="3"/>
  <c r="D12" i="3"/>
  <c r="N12" i="3" s="1"/>
  <c r="C12" i="3"/>
  <c r="D11" i="3"/>
  <c r="N11" i="3" s="1"/>
  <c r="C11" i="3"/>
  <c r="N10" i="3"/>
  <c r="D10" i="3"/>
  <c r="C10" i="3"/>
  <c r="D9" i="3"/>
  <c r="N9" i="3" s="1"/>
  <c r="C9" i="3"/>
  <c r="D8" i="3"/>
  <c r="N8" i="3" s="1"/>
  <c r="C8" i="3"/>
  <c r="D7" i="3"/>
  <c r="N7" i="3" s="1"/>
  <c r="C7" i="3"/>
  <c r="N6" i="3"/>
  <c r="G8" i="2" s="1"/>
  <c r="M6" i="3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I36" i="2"/>
  <c r="I35" i="2"/>
  <c r="I34" i="2"/>
  <c r="I33" i="2"/>
  <c r="I32" i="2"/>
  <c r="I31" i="2"/>
  <c r="I30" i="2"/>
  <c r="Q30" i="2" s="1"/>
  <c r="I29" i="2"/>
  <c r="Q29" i="2" s="1"/>
  <c r="I28" i="2"/>
  <c r="Q28" i="2" s="1"/>
  <c r="G28" i="2"/>
  <c r="I27" i="2"/>
  <c r="Q27" i="2" s="1"/>
  <c r="I26" i="2"/>
  <c r="Q26" i="2" s="1"/>
  <c r="G26" i="2"/>
  <c r="I25" i="2"/>
  <c r="I24" i="2"/>
  <c r="Q24" i="2" s="1"/>
  <c r="G24" i="2"/>
  <c r="I23" i="2"/>
  <c r="Q23" i="2" s="1"/>
  <c r="G23" i="2"/>
  <c r="I22" i="2"/>
  <c r="Q22" i="2" s="1"/>
  <c r="I21" i="2"/>
  <c r="Q21" i="2" s="1"/>
  <c r="I20" i="2"/>
  <c r="I19" i="2"/>
  <c r="Q19" i="2" s="1"/>
  <c r="G19" i="2"/>
  <c r="I18" i="2"/>
  <c r="Q18" i="2" s="1"/>
  <c r="I17" i="2"/>
  <c r="Q17" i="2" s="1"/>
  <c r="I16" i="2"/>
  <c r="Q16" i="2" s="1"/>
  <c r="I15" i="2"/>
  <c r="Q15" i="2" s="1"/>
  <c r="I14" i="2"/>
  <c r="I13" i="2"/>
  <c r="Q13" i="2" s="1"/>
  <c r="I12" i="2"/>
  <c r="Q12" i="2" s="1"/>
  <c r="I11" i="2"/>
  <c r="Q11" i="2" s="1"/>
  <c r="I10" i="2"/>
  <c r="I9" i="2"/>
  <c r="Q9" i="2" s="1"/>
  <c r="I8" i="2"/>
  <c r="Q8" i="2" s="1"/>
  <c r="I7" i="2"/>
  <c r="I6" i="2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J29" i="1"/>
  <c r="I29" i="1"/>
  <c r="J28" i="1"/>
  <c r="I28" i="1"/>
  <c r="J27" i="1"/>
  <c r="I27" i="1"/>
  <c r="H27" i="1"/>
  <c r="J26" i="1"/>
  <c r="I26" i="1"/>
  <c r="H26" i="1"/>
  <c r="J25" i="1"/>
  <c r="I25" i="1"/>
  <c r="H25" i="1"/>
  <c r="L24" i="1"/>
  <c r="K24" i="1"/>
  <c r="J24" i="1"/>
  <c r="I24" i="1"/>
  <c r="H24" i="1"/>
  <c r="J23" i="1"/>
  <c r="I23" i="1"/>
  <c r="H23" i="1"/>
  <c r="J22" i="1"/>
  <c r="I22" i="1"/>
  <c r="H22" i="1"/>
  <c r="J21" i="1"/>
  <c r="I21" i="1"/>
  <c r="J20" i="1"/>
  <c r="I20" i="1"/>
  <c r="L19" i="1"/>
  <c r="K19" i="1"/>
  <c r="J19" i="1"/>
  <c r="I19" i="1"/>
  <c r="H19" i="1"/>
  <c r="J18" i="1"/>
  <c r="I18" i="1"/>
  <c r="H18" i="1"/>
  <c r="J17" i="1"/>
  <c r="I17" i="1"/>
  <c r="J16" i="1"/>
  <c r="I16" i="1"/>
  <c r="J15" i="1"/>
  <c r="I15" i="1"/>
  <c r="J14" i="1"/>
  <c r="I14" i="1"/>
  <c r="L13" i="1"/>
  <c r="K13" i="1"/>
  <c r="J13" i="1"/>
  <c r="I13" i="1"/>
  <c r="H13" i="1"/>
  <c r="J12" i="1"/>
  <c r="I12" i="1"/>
  <c r="H12" i="1"/>
  <c r="J11" i="1"/>
  <c r="I11" i="1"/>
  <c r="J10" i="1"/>
  <c r="I10" i="1"/>
  <c r="L9" i="1"/>
  <c r="K9" i="1"/>
  <c r="J9" i="1"/>
  <c r="I9" i="1"/>
  <c r="H9" i="1"/>
  <c r="J8" i="1"/>
  <c r="I8" i="1"/>
  <c r="J7" i="1"/>
  <c r="I7" i="1"/>
  <c r="H7" i="1"/>
  <c r="L6" i="1"/>
  <c r="K6" i="1"/>
  <c r="J6" i="1"/>
  <c r="I6" i="1"/>
  <c r="H6" i="1"/>
  <c r="L5" i="1"/>
  <c r="K5" i="1"/>
  <c r="J5" i="1"/>
  <c r="I5" i="1"/>
  <c r="H5" i="1"/>
  <c r="K27" i="1" l="1"/>
  <c r="S28" i="2"/>
  <c r="L27" i="1" s="1"/>
  <c r="M24" i="3"/>
  <c r="H29" i="1"/>
  <c r="G30" i="2"/>
  <c r="H28" i="1"/>
  <c r="G29" i="2"/>
  <c r="M23" i="3"/>
  <c r="M21" i="3"/>
  <c r="G27" i="2"/>
  <c r="H21" i="1"/>
  <c r="G22" i="2"/>
  <c r="M17" i="3"/>
  <c r="G21" i="2"/>
  <c r="M16" i="3"/>
  <c r="H20" i="1"/>
  <c r="H17" i="1"/>
  <c r="G18" i="2"/>
  <c r="M14" i="3"/>
  <c r="H16" i="1"/>
  <c r="G17" i="2"/>
  <c r="M13" i="3"/>
  <c r="G16" i="2"/>
  <c r="H15" i="1"/>
  <c r="M12" i="3"/>
  <c r="H14" i="1"/>
  <c r="G15" i="2"/>
  <c r="M11" i="3"/>
  <c r="M10" i="3"/>
  <c r="G13" i="2"/>
  <c r="H11" i="1"/>
  <c r="G12" i="2"/>
  <c r="M9" i="3"/>
  <c r="H10" i="1"/>
  <c r="G11" i="2"/>
  <c r="M8" i="3"/>
  <c r="H8" i="1"/>
  <c r="G9" i="2"/>
  <c r="M7" i="3"/>
  <c r="S30" i="2"/>
  <c r="L29" i="1" s="1"/>
  <c r="K29" i="1"/>
  <c r="K28" i="1"/>
  <c r="S29" i="2"/>
  <c r="L28" i="1" s="1"/>
  <c r="K26" i="1"/>
  <c r="S27" i="2"/>
  <c r="L26" i="1" s="1"/>
  <c r="K25" i="1"/>
  <c r="S26" i="2"/>
  <c r="L25" i="1" s="1"/>
  <c r="S24" i="2"/>
  <c r="L23" i="1" s="1"/>
  <c r="K23" i="1"/>
  <c r="S23" i="2"/>
  <c r="L22" i="1" s="1"/>
  <c r="K22" i="1"/>
  <c r="S22" i="2"/>
  <c r="L21" i="1" s="1"/>
  <c r="K21" i="1"/>
  <c r="S21" i="2"/>
  <c r="L20" i="1" s="1"/>
  <c r="K20" i="1"/>
  <c r="K18" i="1"/>
  <c r="S19" i="2"/>
  <c r="L18" i="1" s="1"/>
  <c r="S18" i="2"/>
  <c r="L17" i="1" s="1"/>
  <c r="K17" i="1"/>
  <c r="S17" i="2"/>
  <c r="L16" i="1" s="1"/>
  <c r="K16" i="1"/>
  <c r="K15" i="1"/>
  <c r="S16" i="2"/>
  <c r="L15" i="1" s="1"/>
  <c r="S15" i="2"/>
  <c r="L14" i="1" s="1"/>
  <c r="K14" i="1"/>
  <c r="S13" i="2"/>
  <c r="L12" i="1" s="1"/>
  <c r="K12" i="1"/>
  <c r="S12" i="2"/>
  <c r="L11" i="1" s="1"/>
  <c r="K11" i="1"/>
  <c r="S11" i="2"/>
  <c r="L10" i="1" s="1"/>
  <c r="K10" i="1"/>
  <c r="S9" i="2"/>
  <c r="L8" i="1" s="1"/>
  <c r="K8" i="1"/>
  <c r="S8" i="2"/>
  <c r="L7" i="1" s="1"/>
  <c r="K7" i="1"/>
</calcChain>
</file>

<file path=xl/sharedStrings.xml><?xml version="1.0" encoding="utf-8"?>
<sst xmlns="http://schemas.openxmlformats.org/spreadsheetml/2006/main" count="1598" uniqueCount="1043">
  <si>
    <t>일차</t>
  </si>
  <si>
    <t>날짜</t>
  </si>
  <si>
    <t>요일</t>
  </si>
  <si>
    <t>권역</t>
  </si>
  <si>
    <t>숙박 지역</t>
  </si>
  <si>
    <t>박수</t>
  </si>
  <si>
    <t>구분</t>
  </si>
  <si>
    <t>걷는 시간</t>
  </si>
  <si>
    <t>해 지기 전 여유</t>
  </si>
  <si>
    <t>하루 성격</t>
  </si>
  <si>
    <t>먹거리</t>
  </si>
  <si>
    <t>역사적 배경</t>
  </si>
  <si>
    <t>메모</t>
  </si>
  <si>
    <t>12/4</t>
  </si>
  <si>
    <t>금</t>
  </si>
  <si>
    <t>도쿄</t>
  </si>
  <si>
    <t>도쿄 시나가와</t>
  </si>
  <si>
    <t>교통</t>
  </si>
  <si>
    <t>도착</t>
  </si>
  <si>
    <t>기타시나가와 옛 시나가와주쿠 거리</t>
  </si>
  <si>
    <t>12/5</t>
  </si>
  <si>
    <t>토</t>
  </si>
  <si>
    <t>↑</t>
  </si>
  <si>
    <t>관광</t>
  </si>
  <si>
    <t>12/6</t>
  </si>
  <si>
    <t>일</t>
  </si>
  <si>
    <t>오다와라</t>
  </si>
  <si>
    <t>걷기 시작</t>
  </si>
  <si>
    <t>12/7</t>
  </si>
  <si>
    <t>월</t>
  </si>
  <si>
    <t>걷기</t>
  </si>
  <si>
    <t>산길 오르막</t>
  </si>
  <si>
    <t>12/8</t>
  </si>
  <si>
    <t>화</t>
  </si>
  <si>
    <t>휴식</t>
  </si>
  <si>
    <t>12/9</t>
  </si>
  <si>
    <t>수</t>
  </si>
  <si>
    <t>미시마</t>
  </si>
  <si>
    <t>산길 내리막</t>
  </si>
  <si>
    <t>12/10</t>
  </si>
  <si>
    <t>목</t>
  </si>
  <si>
    <t>후지 요시와라</t>
  </si>
  <si>
    <t>12/11</t>
  </si>
  <si>
    <t>오키쓰</t>
  </si>
  <si>
    <t>12/12</t>
  </si>
  <si>
    <t>시즈오카</t>
  </si>
  <si>
    <t>12/13</t>
  </si>
  <si>
    <t>12/14</t>
  </si>
  <si>
    <t>후지에다</t>
  </si>
  <si>
    <t>12/15</t>
  </si>
  <si>
    <t>시마다</t>
  </si>
  <si>
    <t>12/16</t>
  </si>
  <si>
    <t>가케가와</t>
  </si>
  <si>
    <t>12/17</t>
  </si>
  <si>
    <t>엔슈</t>
  </si>
  <si>
    <t>12/18</t>
  </si>
  <si>
    <t>12/19</t>
  </si>
  <si>
    <t>미카와</t>
  </si>
  <si>
    <t>도요하시</t>
  </si>
  <si>
    <t>12/20</t>
  </si>
  <si>
    <t>소나무 가로수길</t>
  </si>
  <si>
    <t>12/21</t>
  </si>
  <si>
    <t>오카자키</t>
  </si>
  <si>
    <t>12/22</t>
  </si>
  <si>
    <t>나고야</t>
  </si>
  <si>
    <t>아리마쓰 옛 거리</t>
  </si>
  <si>
    <t>12/23</t>
  </si>
  <si>
    <t>구와나</t>
  </si>
  <si>
    <t>12/24</t>
  </si>
  <si>
    <t>스즈카</t>
  </si>
  <si>
    <t>12/25</t>
  </si>
  <si>
    <t>오미</t>
  </si>
  <si>
    <t>미나쿠치</t>
  </si>
  <si>
    <t>12/26</t>
  </si>
  <si>
    <t>구사쓰</t>
  </si>
  <si>
    <t>12/27</t>
  </si>
  <si>
    <t>12/28</t>
  </si>
  <si>
    <t>교토</t>
  </si>
  <si>
    <t>12/29</t>
  </si>
  <si>
    <t>12/30</t>
  </si>
  <si>
    <t>12/31</t>
  </si>
  <si>
    <t>아리마 온천</t>
  </si>
  <si>
    <t>1/1</t>
  </si>
  <si>
    <t>고베</t>
  </si>
  <si>
    <t>1/2</t>
  </si>
  <si>
    <t>오사카</t>
  </si>
  <si>
    <t>1/3</t>
  </si>
  <si>
    <t>-</t>
  </si>
  <si>
    <t>귀국</t>
  </si>
  <si>
    <t>합계와 평균</t>
  </si>
  <si>
    <t>걷기 하루 평균 시간</t>
  </si>
  <si>
    <t>참고</t>
  </si>
  <si>
    <t>출발 시각 원칙</t>
  </si>
  <si>
    <t>걷기 시간</t>
  </si>
  <si>
    <t>탑승 횟수</t>
  </si>
  <si>
    <t>아고다에서 보기</t>
  </si>
  <si>
    <t>미시마 체크아웃</t>
  </si>
  <si>
    <t>요시와라 체크아웃</t>
  </si>
  <si>
    <t>오키쓰 체크아웃</t>
  </si>
  <si>
    <t>시즈오카 체크아웃</t>
  </si>
  <si>
    <t>후지에다 체크아웃</t>
  </si>
  <si>
    <t>시마다 체크아웃</t>
  </si>
  <si>
    <t>하마나호 체크아웃</t>
  </si>
  <si>
    <t>도요하시 체크아웃</t>
  </si>
  <si>
    <t>오카자키 체크아웃</t>
  </si>
  <si>
    <t>미나쿠치 체크아웃</t>
  </si>
  <si>
    <t>구사쓰 체크아웃</t>
  </si>
  <si>
    <t>구글 지도 도보 경로 좌표</t>
  </si>
  <si>
    <r>
      <rPr>
        <sz val="11"/>
        <color rgb="FF595959"/>
        <rFont val="Noto Sans CJK SC"/>
        <family val="2"/>
      </rPr>
      <t xml:space="preserve">노란 칸 </t>
    </r>
    <r>
      <rPr>
        <sz val="11"/>
        <color rgb="FF595959"/>
        <rFont val="Pretendard"/>
        <family val="3"/>
        <charset val="129"/>
      </rPr>
      <t xml:space="preserve">= </t>
    </r>
    <r>
      <rPr>
        <sz val="11"/>
        <color rgb="FF595959"/>
        <rFont val="Noto Sans CJK SC"/>
        <family val="2"/>
      </rPr>
      <t>숙소가 정해지면 숙소 좌표</t>
    </r>
    <r>
      <rPr>
        <sz val="11"/>
        <color rgb="FF595959"/>
        <rFont val="Pretendard"/>
        <family val="3"/>
        <charset val="129"/>
      </rPr>
      <t>(</t>
    </r>
    <r>
      <rPr>
        <sz val="11"/>
        <color rgb="FF595959"/>
        <rFont val="Noto Sans CJK SC"/>
        <family val="2"/>
      </rPr>
      <t>위도</t>
    </r>
    <r>
      <rPr>
        <sz val="11"/>
        <color rgb="FF595959"/>
        <rFont val="Pretendard"/>
        <family val="3"/>
        <charset val="129"/>
      </rPr>
      <t>,</t>
    </r>
    <r>
      <rPr>
        <sz val="11"/>
        <color rgb="FF595959"/>
        <rFont val="Noto Sans CJK SC"/>
        <family val="2"/>
      </rPr>
      <t>경도</t>
    </r>
    <r>
      <rPr>
        <sz val="11"/>
        <color rgb="FF595959"/>
        <rFont val="Pretendard"/>
        <family val="3"/>
        <charset val="129"/>
      </rPr>
      <t>)</t>
    </r>
    <r>
      <rPr>
        <sz val="11"/>
        <color rgb="FF595959"/>
        <rFont val="Noto Sans CJK SC"/>
        <family val="2"/>
      </rPr>
      <t>로 바꾸는 칸</t>
    </r>
    <r>
      <rPr>
        <sz val="11"/>
        <color rgb="FF595959"/>
        <rFont val="Pretendard"/>
        <family val="3"/>
        <charset val="129"/>
      </rPr>
      <t xml:space="preserve">. </t>
    </r>
    <r>
      <rPr>
        <sz val="11"/>
        <color rgb="FF595959"/>
        <rFont val="Noto Sans CJK SC"/>
        <family val="2"/>
      </rPr>
      <t>바꾸면 그날 지도 링크와 다음 날 출발지</t>
    </r>
    <r>
      <rPr>
        <sz val="11"/>
        <color rgb="FF595959"/>
        <rFont val="Pretendard"/>
        <family val="3"/>
        <charset val="129"/>
      </rPr>
      <t>(</t>
    </r>
    <r>
      <rPr>
        <sz val="11"/>
        <color rgb="FF595959"/>
        <rFont val="Noto Sans CJK SC"/>
        <family val="2"/>
      </rPr>
      <t xml:space="preserve">초록 글씨 </t>
    </r>
    <r>
      <rPr>
        <sz val="11"/>
        <color rgb="FF595959"/>
        <rFont val="Pretendard"/>
        <family val="3"/>
        <charset val="129"/>
      </rPr>
      <t xml:space="preserve">= </t>
    </r>
    <r>
      <rPr>
        <sz val="11"/>
        <color rgb="FF595959"/>
        <rFont val="Noto Sans CJK SC"/>
        <family val="2"/>
      </rPr>
      <t>전날 도착지를 자동으로 가져옴</t>
    </r>
    <r>
      <rPr>
        <sz val="11"/>
        <color rgb="FF595959"/>
        <rFont val="Pretendard"/>
        <family val="3"/>
        <charset val="129"/>
      </rPr>
      <t>)</t>
    </r>
    <r>
      <rPr>
        <sz val="11"/>
        <color rgb="FF595959"/>
        <rFont val="Noto Sans CJK SC"/>
        <family val="2"/>
      </rPr>
      <t>가 함께 바뀝니다</t>
    </r>
    <r>
      <rPr>
        <sz val="11"/>
        <color rgb="FF595959"/>
        <rFont val="Pretendard"/>
        <family val="3"/>
        <charset val="129"/>
      </rPr>
      <t>.</t>
    </r>
  </si>
  <si>
    <r>
      <rPr>
        <sz val="11"/>
        <color rgb="FF595959"/>
        <rFont val="Noto Sans CJK SC"/>
        <family val="2"/>
      </rPr>
      <t>좌표 구하는 법</t>
    </r>
    <r>
      <rPr>
        <sz val="11"/>
        <color rgb="FF595959"/>
        <rFont val="Pretendard"/>
        <family val="3"/>
        <charset val="129"/>
      </rPr>
      <t xml:space="preserve">: </t>
    </r>
    <r>
      <rPr>
        <sz val="11"/>
        <color rgb="FF595959"/>
        <rFont val="Noto Sans CJK SC"/>
        <family val="2"/>
      </rPr>
      <t>구글 지도에서 숙소를 길게 누르거나</t>
    </r>
    <r>
      <rPr>
        <sz val="11"/>
        <color rgb="FF595959"/>
        <rFont val="Pretendard"/>
        <family val="3"/>
        <charset val="129"/>
      </rPr>
      <t>(</t>
    </r>
    <r>
      <rPr>
        <sz val="11"/>
        <color rgb="FF595959"/>
        <rFont val="Noto Sans CJK SC"/>
        <family val="2"/>
      </rPr>
      <t>휴대폰</t>
    </r>
    <r>
      <rPr>
        <sz val="11"/>
        <color rgb="FF595959"/>
        <rFont val="Pretendard"/>
        <family val="3"/>
        <charset val="129"/>
      </rPr>
      <t xml:space="preserve">) </t>
    </r>
    <r>
      <rPr>
        <sz val="11"/>
        <color rgb="FF595959"/>
        <rFont val="Noto Sans CJK SC"/>
        <family val="2"/>
      </rPr>
      <t>오른쪽 클릭</t>
    </r>
    <r>
      <rPr>
        <sz val="11"/>
        <color rgb="FF595959"/>
        <rFont val="Pretendard"/>
        <family val="3"/>
        <charset val="129"/>
      </rPr>
      <t>(PC)</t>
    </r>
    <r>
      <rPr>
        <sz val="11"/>
        <color rgb="FF595959"/>
        <rFont val="Noto Sans CJK SC"/>
        <family val="2"/>
      </rPr>
      <t xml:space="preserve">하면 </t>
    </r>
    <r>
      <rPr>
        <sz val="11"/>
        <color rgb="FF595959"/>
        <rFont val="Pretendard"/>
        <family val="3"/>
        <charset val="129"/>
      </rPr>
      <t xml:space="preserve">'35.12345, 138.91234' </t>
    </r>
    <r>
      <rPr>
        <sz val="11"/>
        <color rgb="FF595959"/>
        <rFont val="Noto Sans CJK SC"/>
        <family val="2"/>
      </rPr>
      <t>같은 숫자가 나옵니다</t>
    </r>
    <r>
      <rPr>
        <sz val="11"/>
        <color rgb="FF595959"/>
        <rFont val="Pretendard"/>
        <family val="3"/>
        <charset val="129"/>
      </rPr>
      <t xml:space="preserve">. </t>
    </r>
    <r>
      <rPr>
        <sz val="11"/>
        <color rgb="FF595959"/>
        <rFont val="Noto Sans CJK SC"/>
        <family val="2"/>
      </rPr>
      <t>그대로 복사해 붙여 넣으세요</t>
    </r>
    <r>
      <rPr>
        <sz val="11"/>
        <color rgb="FF595959"/>
        <rFont val="Pretendard"/>
        <family val="3"/>
        <charset val="129"/>
      </rPr>
      <t>(</t>
    </r>
    <r>
      <rPr>
        <sz val="11"/>
        <color rgb="FF595959"/>
        <rFont val="Noto Sans CJK SC"/>
        <family val="2"/>
      </rPr>
      <t>띄어쓰기는 있어도 됨</t>
    </r>
    <r>
      <rPr>
        <sz val="11"/>
        <color rgb="FF595959"/>
        <rFont val="Pretendard"/>
        <family val="3"/>
        <charset val="129"/>
      </rPr>
      <t>).</t>
    </r>
  </si>
  <si>
    <t>출발</t>
  </si>
  <si>
    <t>출발 좌표</t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</si>
  <si>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>1</t>
    </r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</si>
  <si>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 xml:space="preserve">1 </t>
    </r>
    <r>
      <rPr>
        <b/>
        <sz val="10"/>
        <color rgb="FFFFFFFF"/>
        <rFont val="Noto Sans CJK SC"/>
        <family val="2"/>
      </rPr>
      <t>좌표</t>
    </r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</si>
  <si>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>2</t>
    </r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</si>
  <si>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 xml:space="preserve">2 </t>
    </r>
    <r>
      <rPr>
        <b/>
        <sz val="10"/>
        <color rgb="FFFFFFFF"/>
        <rFont val="Noto Sans CJK SC"/>
        <family val="2"/>
      </rPr>
      <t>좌표</t>
    </r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</si>
  <si>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>3</t>
    </r>
  </si>
  <si>
    <r>
      <rPr>
        <b/>
        <sz val="10"/>
        <color rgb="FFFFFFFF"/>
        <rFont val="Noto Sans CJK SC"/>
        <family val="2"/>
      </rPr>
      <t xml:space="preserve">경유 </t>
    </r>
    <r>
      <rPr>
        <b/>
        <sz val="10"/>
        <color rgb="FFFFFFFF"/>
        <rFont val="Pretendard"/>
        <family val="3"/>
        <charset val="129"/>
      </rPr>
      <t xml:space="preserve">3 </t>
    </r>
    <r>
      <rPr>
        <b/>
        <sz val="10"/>
        <color rgb="FFFFFFFF"/>
        <rFont val="Noto Sans CJK SC"/>
        <family val="2"/>
      </rPr>
      <t>좌표</t>
    </r>
  </si>
  <si>
    <t>도착 좌표</t>
  </si>
  <si>
    <t>지도</t>
  </si>
  <si>
    <r>
      <rPr>
        <b/>
        <sz val="10"/>
        <color rgb="FFFFFFFF"/>
        <rFont val="Noto Sans CJK SC"/>
        <family val="2"/>
      </rPr>
      <t xml:space="preserve">구글 지도 링크 </t>
    </r>
    <r>
      <rPr>
        <b/>
        <sz val="10"/>
        <color rgb="FFFFFFFF"/>
        <rFont val="Pretendard"/>
        <family val="3"/>
        <charset val="129"/>
      </rPr>
      <t>(</t>
    </r>
    <r>
      <rPr>
        <b/>
        <sz val="10"/>
        <color rgb="FFFFFFFF"/>
        <rFont val="Noto Sans CJK SC"/>
        <family val="2"/>
      </rPr>
      <t>자동 생성</t>
    </r>
    <r>
      <rPr>
        <b/>
        <sz val="10"/>
        <color rgb="FFFFFFFF"/>
        <rFont val="Pretendard"/>
        <family val="3"/>
        <charset val="129"/>
      </rPr>
      <t>)</t>
    </r>
  </si>
  <si>
    <t>오이소역</t>
  </si>
  <si>
    <t>35.3114,139.3133</t>
  </si>
  <si>
    <r>
      <rPr>
        <sz val="10"/>
        <rFont val="Noto Sans CJK SC"/>
        <family val="2"/>
      </rPr>
      <t xml:space="preserve">호텔 포쉬 오다와라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</si>
  <si>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35.2559,139.1577</t>
  </si>
  <si>
    <t>하코네유모토역</t>
  </si>
  <si>
    <t>35.2333,139.1036</t>
  </si>
  <si>
    <r>
      <rPr>
        <sz val="10"/>
        <rFont val="Noto Sans CJK SC"/>
        <family val="2"/>
      </rPr>
      <t xml:space="preserve">하타주쿠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돌길 입구</t>
    </r>
    <r>
      <rPr>
        <sz val="10"/>
        <rFont val="Pretendard"/>
        <family val="3"/>
        <charset val="129"/>
      </rPr>
      <t>)</t>
    </r>
  </si>
  <si>
    <t>35.213,139.0631</t>
  </si>
  <si>
    <t>아마자케차야</t>
  </si>
  <si>
    <t>35.2022,139.0488</t>
  </si>
  <si>
    <r>
      <rPr>
        <sz val="10"/>
        <rFont val="Pretendard"/>
        <family val="3"/>
        <charset val="129"/>
      </rPr>
      <t>RoheN ASHINOKO 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</si>
  <si>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35.2041,139.0327</t>
  </si>
  <si>
    <t>하코네 관소</t>
  </si>
  <si>
    <t>35.1924,139.0262</t>
  </si>
  <si>
    <t>하코네 고개</t>
  </si>
  <si>
    <t>35.1824,139.014</t>
  </si>
  <si>
    <t>야마나카성터</t>
  </si>
  <si>
    <t>35.1566,138.9943</t>
  </si>
  <si>
    <r>
      <rPr>
        <sz val="10"/>
        <rFont val="Pretendard"/>
        <family val="3"/>
        <charset val="129"/>
      </rPr>
      <t>Hotel Gee Haive 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</si>
  <si>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35.1243,138.9081</t>
  </si>
  <si>
    <t>누마즈주쿠 본진 터</t>
  </si>
  <si>
    <t>35.095,138.8564</t>
  </si>
  <si>
    <t>센본마쓰바라</t>
  </si>
  <si>
    <t>35.1184,138.8072</t>
  </si>
  <si>
    <t>하라역</t>
  </si>
  <si>
    <t>35.1249,138.7938</t>
  </si>
  <si>
    <r>
      <rPr>
        <sz val="10"/>
        <rFont val="Noto Sans CJK SC"/>
        <family val="2"/>
      </rPr>
      <t xml:space="preserve">호텔 니시무라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</si>
  <si>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35.1604,138.6768</t>
  </si>
  <si>
    <t>후지강 다리</t>
  </si>
  <si>
    <t>35.1549,138.6239</t>
  </si>
  <si>
    <t>유이 본진 공원</t>
  </si>
  <si>
    <t>35.1076,138.5672</t>
  </si>
  <si>
    <t>삿타 고개</t>
  </si>
  <si>
    <t>35.0715,138.5413</t>
  </si>
  <si>
    <r>
      <rPr>
        <sz val="10"/>
        <rFont val="Noto Sans CJK SC"/>
        <family val="2"/>
      </rPr>
      <t xml:space="preserve">쿠어 앤 호텔 스루가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</si>
  <si>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35.0569,138.5331</t>
  </si>
  <si>
    <r>
      <rPr>
        <sz val="10"/>
        <rFont val="Noto Sans CJK SC"/>
        <family val="2"/>
      </rPr>
      <t xml:space="preserve">시미즈역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에지리</t>
    </r>
    <r>
      <rPr>
        <sz val="10"/>
        <rFont val="Pretendard"/>
        <family val="3"/>
        <charset val="129"/>
      </rPr>
      <t>)</t>
    </r>
  </si>
  <si>
    <t>35.0232,138.4889</t>
  </si>
  <si>
    <t>구사나기 일리총</t>
  </si>
  <si>
    <t>35.0059,138.453</t>
  </si>
  <si>
    <r>
      <rPr>
        <sz val="10"/>
        <rFont val="Noto Sans CJK SC"/>
        <family val="2"/>
      </rPr>
      <t xml:space="preserve">시즈오카 후다노쓰지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후추주쿠</t>
    </r>
    <r>
      <rPr>
        <sz val="10"/>
        <rFont val="Pretendard"/>
        <family val="3"/>
        <charset val="129"/>
      </rPr>
      <t>)</t>
    </r>
  </si>
  <si>
    <t>34.9751,138.3816</t>
  </si>
  <si>
    <r>
      <rPr>
        <sz val="10"/>
        <rFont val="Noto Sans CJK SC"/>
        <family val="2"/>
      </rPr>
      <t xml:space="preserve">호텔 가든 스퀘어 시즈오카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</si>
  <si>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34.9721,138.3849</t>
  </si>
  <si>
    <t>마리코 조지야</t>
  </si>
  <si>
    <t>34.9522,138.3341</t>
  </si>
  <si>
    <t>우쓰노야 오하오리야</t>
  </si>
  <si>
    <t>34.936,138.3042</t>
  </si>
  <si>
    <t>오카베 가시와야</t>
  </si>
  <si>
    <t>34.9194,138.2827</t>
  </si>
  <si>
    <r>
      <rPr>
        <sz val="10"/>
        <rFont val="Noto Sans CJK SC"/>
        <family val="2"/>
      </rPr>
      <t xml:space="preserve">호텔 슈퍼 도마리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</si>
  <si>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34.8479,138.2561</t>
  </si>
  <si>
    <r>
      <rPr>
        <sz val="10"/>
        <rFont val="Noto Sans CJK SC"/>
        <family val="2"/>
      </rPr>
      <t xml:space="preserve">호텔 루트인 시마다 에키마에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</si>
  <si>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34.8328,138.1776</t>
  </si>
  <si>
    <t>호라이교</t>
  </si>
  <si>
    <t>34.825,138.1847</t>
  </si>
  <si>
    <t>가나야 돌길</t>
  </si>
  <si>
    <t>34.8156,138.1239</t>
  </si>
  <si>
    <t>닛사카 가와사카야</t>
  </si>
  <si>
    <t>34.8027,138.0762</t>
  </si>
  <si>
    <r>
      <rPr>
        <sz val="10"/>
        <rFont val="Noto Sans CJK SC"/>
        <family val="2"/>
      </rPr>
      <t xml:space="preserve">도미 인 익스프레스 가케가와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</si>
  <si>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34.7732,138.0184</t>
  </si>
  <si>
    <t>하마마쓰역</t>
  </si>
  <si>
    <t>34.7042,137.7345</t>
  </si>
  <si>
    <t>마이사카 소나무 가로수길</t>
  </si>
  <si>
    <t>34.6837,137.6222</t>
  </si>
  <si>
    <t>벤텐지마</t>
  </si>
  <si>
    <t>34.6907,137.6066</t>
  </si>
  <si>
    <t>아라이 관소</t>
  </si>
  <si>
    <t>34.6947,137.5613</t>
  </si>
  <si>
    <r>
      <rPr>
        <sz val="10"/>
        <rFont val="Noto Sans CJK SC"/>
        <family val="2"/>
      </rPr>
      <t xml:space="preserve">호텔 난반 하마나코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</si>
  <si>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34.7147,137.5456</t>
  </si>
  <si>
    <r>
      <rPr>
        <sz val="10"/>
        <rFont val="Noto Sans CJK SC"/>
        <family val="2"/>
      </rPr>
      <t xml:space="preserve">시라스카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시오미자카</t>
    </r>
    <r>
      <rPr>
        <sz val="10"/>
        <rFont val="Pretendard"/>
        <family val="3"/>
        <charset val="129"/>
      </rPr>
      <t>)</t>
    </r>
  </si>
  <si>
    <t>34.6815,137.5112</t>
  </si>
  <si>
    <t>후타가와주쿠 본진</t>
  </si>
  <si>
    <t>34.7234,137.4499</t>
  </si>
  <si>
    <r>
      <rPr>
        <sz val="10"/>
        <rFont val="Noto Sans CJK SC"/>
        <family val="2"/>
      </rPr>
      <t xml:space="preserve">호텔 어소시아 도요하시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</si>
  <si>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34.7632,137.3827</t>
  </si>
  <si>
    <t>고유 소나무 가로수길</t>
  </si>
  <si>
    <t>34.8511,137.3125</t>
  </si>
  <si>
    <t>메이덴아카사카역</t>
  </si>
  <si>
    <t>34.8591,137.3114</t>
  </si>
  <si>
    <t>후지카와주쿠 본진 터</t>
  </si>
  <si>
    <t>34.9113,137.2221</t>
  </si>
  <si>
    <t>오카자키성</t>
  </si>
  <si>
    <t>34.9563,137.1588</t>
  </si>
  <si>
    <r>
      <rPr>
        <sz val="10"/>
        <rFont val="Noto Sans CJK SC"/>
        <family val="2"/>
      </rPr>
      <t xml:space="preserve">호텔 라이브맥스 오카자키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</si>
  <si>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34.9557,137.169</t>
  </si>
  <si>
    <t>지류역</t>
  </si>
  <si>
    <t>35.0059,137.0397</t>
  </si>
  <si>
    <t>35.0674,136.9701</t>
  </si>
  <si>
    <t>나루미역</t>
  </si>
  <si>
    <t>35.0785,136.9507</t>
  </si>
  <si>
    <t>아쓰타 신궁</t>
  </si>
  <si>
    <t>35.1243,136.9089</t>
  </si>
  <si>
    <t>가사도역</t>
  </si>
  <si>
    <t>34.8905,136.5303</t>
  </si>
  <si>
    <t>쇼노주쿠 자료관</t>
  </si>
  <si>
    <t>34.8846,136.5256</t>
  </si>
  <si>
    <t>가메야마성</t>
  </si>
  <si>
    <t>34.8561,136.4507</t>
  </si>
  <si>
    <r>
      <rPr>
        <sz val="10"/>
        <rFont val="Noto Sans CJK SC"/>
        <family val="2"/>
      </rPr>
      <t xml:space="preserve">칸데오 호텔 가메야마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</si>
  <si>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34.8567,136.4112</t>
  </si>
  <si>
    <t>세키주쿠 옛 거리</t>
  </si>
  <si>
    <t>34.8526,136.3918</t>
  </si>
  <si>
    <t>사카시타주쿠</t>
  </si>
  <si>
    <t>34.8885,136.3543</t>
  </si>
  <si>
    <t>스즈카 고개</t>
  </si>
  <si>
    <t>34.8939,136.3368</t>
  </si>
  <si>
    <t>쓰치야마 덴마칸</t>
  </si>
  <si>
    <t>34.9355,136.2833</t>
  </si>
  <si>
    <r>
      <rPr>
        <sz val="10"/>
        <rFont val="Noto Sans CJK SC"/>
        <family val="2"/>
      </rPr>
      <t xml:space="preserve">미나쿠치 센추리 호텔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</si>
  <si>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34.9778,136.173</t>
  </si>
  <si>
    <t>이시베역</t>
  </si>
  <si>
    <t>35.0177,136.053</t>
  </si>
  <si>
    <t>구사쓰주쿠 본진</t>
  </si>
  <si>
    <t>35.0178,135.9603</t>
  </si>
  <si>
    <r>
      <rPr>
        <sz val="10"/>
        <rFont val="Noto Sans CJK SC"/>
        <family val="2"/>
      </rPr>
      <t xml:space="preserve">호텔 보스턴 플라자 구사쓰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</si>
  <si>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35.0228,135.9607</t>
  </si>
  <si>
    <t>세타 가라하시</t>
  </si>
  <si>
    <t>34.973,135.9067</t>
  </si>
  <si>
    <r>
      <rPr>
        <sz val="10"/>
        <rFont val="Noto Sans CJK SC"/>
        <family val="2"/>
      </rPr>
      <t xml:space="preserve">르 락 호텔 오쓰 이시야마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</si>
  <si>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34.9786,135.9005</t>
  </si>
  <si>
    <t>오사카 고개 관문 터</t>
  </si>
  <si>
    <t>34.9942,135.8556</t>
  </si>
  <si>
    <t>게아게 인클라인</t>
  </si>
  <si>
    <t>35.0106,135.7889</t>
  </si>
  <si>
    <r>
      <rPr>
        <sz val="10"/>
        <rFont val="Noto Sans CJK SC"/>
        <family val="2"/>
      </rPr>
      <t xml:space="preserve">산조오하시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완주</t>
    </r>
    <r>
      <rPr>
        <sz val="10"/>
        <rFont val="Pretendard"/>
        <family val="3"/>
        <charset val="129"/>
      </rPr>
      <t>)</t>
    </r>
  </si>
  <si>
    <t>35.009,135.7716</t>
  </si>
  <si>
    <r>
      <rPr>
        <sz val="10"/>
        <rFont val="Noto Sans CJK SC"/>
        <family val="2"/>
      </rPr>
      <t xml:space="preserve">소테츠 프레사 인 교토 기요미즈 고조 </t>
    </r>
    <r>
      <rPr>
        <sz val="10"/>
        <rFont val="Pretendard"/>
        <family val="3"/>
        <charset val="129"/>
      </rPr>
      <t>(</t>
    </r>
    <r>
      <rPr>
        <sz val="10"/>
        <rFont val="Noto Sans CJK SC"/>
        <family val="2"/>
      </rPr>
      <t>숙소</t>
    </r>
    <r>
      <rPr>
        <sz val="10"/>
        <rFont val="Pretendard"/>
        <family val="3"/>
        <charset val="129"/>
      </rPr>
      <t>)</t>
    </r>
  </si>
  <si>
    <t>34.9963,135.7648</t>
  </si>
  <si>
    <t>여행 전 알아둘 것</t>
  </si>
  <si>
    <t>분류</t>
  </si>
  <si>
    <t>제목</t>
  </si>
  <si>
    <t>내용</t>
  </si>
  <si>
    <t>입국</t>
  </si>
  <si>
    <t>출국세</t>
  </si>
  <si>
    <t>교통카드</t>
  </si>
  <si>
    <t>교통카드 주의 ①</t>
  </si>
  <si>
    <t>교통카드 주의 ②</t>
  </si>
  <si>
    <t>돈</t>
  </si>
  <si>
    <t>결제와 현금</t>
  </si>
  <si>
    <t>팁</t>
  </si>
  <si>
    <t>숙박세</t>
  </si>
  <si>
    <t>연말연시</t>
  </si>
  <si>
    <t>이번 일정에서 문 닫는 곳</t>
  </si>
  <si>
    <t>일정은 유동적으로</t>
  </si>
  <si>
    <t>해 지는 시간</t>
  </si>
  <si>
    <t>매너</t>
  </si>
  <si>
    <t>쓰레기</t>
  </si>
  <si>
    <t>걸으며 먹기</t>
  </si>
  <si>
    <t>흡연</t>
  </si>
  <si>
    <t>전철</t>
  </si>
  <si>
    <t>신발 벗기</t>
  </si>
  <si>
    <t>신사 참배</t>
  </si>
  <si>
    <t>온천 예절</t>
  </si>
  <si>
    <t>음식점</t>
  </si>
  <si>
    <t>생활</t>
  </si>
  <si>
    <t>전기</t>
  </si>
  <si>
    <t>통신</t>
  </si>
  <si>
    <t>안전</t>
  </si>
  <si>
    <t>길</t>
  </si>
  <si>
    <t>상황별 일본어</t>
  </si>
  <si>
    <t>상황</t>
  </si>
  <si>
    <t>한국어</t>
  </si>
  <si>
    <t>일본어</t>
  </si>
  <si>
    <t>한글 발음</t>
  </si>
  <si>
    <t>기본</t>
  </si>
  <si>
    <t>인사</t>
  </si>
  <si>
    <t>こんにちは</t>
  </si>
  <si>
    <t>곤니치와</t>
  </si>
  <si>
    <t>おはようございます</t>
  </si>
  <si>
    <t>こんばんは</t>
  </si>
  <si>
    <t>곰방와</t>
  </si>
  <si>
    <t>감사</t>
  </si>
  <si>
    <t>감사합니다</t>
  </si>
  <si>
    <t>ありがとうございます</t>
  </si>
  <si>
    <t>가장 많이 쓰게 될 말</t>
  </si>
  <si>
    <t>すみません</t>
  </si>
  <si>
    <t>스미마셍</t>
  </si>
  <si>
    <t>대답</t>
  </si>
  <si>
    <t>大丈夫です</t>
  </si>
  <si>
    <t>부탁</t>
  </si>
  <si>
    <t>부탁합니다</t>
  </si>
  <si>
    <t>お願いします</t>
  </si>
  <si>
    <t>오네가이시마스</t>
  </si>
  <si>
    <t>의사소통</t>
  </si>
  <si>
    <t>일본어를 잘 못해요</t>
  </si>
  <si>
    <t>日本語が少ししかできません</t>
  </si>
  <si>
    <t>니홍고가 스코시시카 데키마셍</t>
  </si>
  <si>
    <t>한 번 더 말해 주세요</t>
  </si>
  <si>
    <t>もう一度お願いします</t>
  </si>
  <si>
    <t>천천히 말해 주세요</t>
  </si>
  <si>
    <t>ゆっくり話してください</t>
  </si>
  <si>
    <t>윳쿠리 하나시테 쿠다사이</t>
  </si>
  <si>
    <t>한국에서 왔어요</t>
  </si>
  <si>
    <t>캉코쿠카라 키마시타</t>
  </si>
  <si>
    <t>길 묻기</t>
  </si>
  <si>
    <t>この道で○○に行けますか？</t>
  </si>
  <si>
    <t>휴대폰 지도를 보여 주며</t>
  </si>
  <si>
    <t>화장실</t>
  </si>
  <si>
    <t>トイレはどこですか？</t>
  </si>
  <si>
    <t>도카이도 걷기</t>
  </si>
  <si>
    <t>도쿄에서 교토까지 걷고 있어요</t>
  </si>
  <si>
    <t>말하면 응원해 주는 사람이 많음</t>
  </si>
  <si>
    <t>사진</t>
  </si>
  <si>
    <t>표 사기</t>
  </si>
  <si>
    <t>○○까지 표 한 장 주세요</t>
  </si>
  <si>
    <t>○○まで一枚ください</t>
  </si>
  <si>
    <t>○○마데 이치마이 쿠다사이</t>
  </si>
  <si>
    <t>승강장</t>
  </si>
  <si>
    <t>○○行きは何番線ですか？</t>
  </si>
  <si>
    <t>확인</t>
  </si>
  <si>
    <t>この電車は○○に止まりますか？</t>
  </si>
  <si>
    <t>버스</t>
  </si>
  <si>
    <t>このバスは○○に行きますか？</t>
  </si>
  <si>
    <t>○○에 도착하면 알려 주세요</t>
  </si>
  <si>
    <t>○○니 츠이타라 오시에테 쿠다사이</t>
  </si>
  <si>
    <t>택시</t>
  </si>
  <si>
    <t>○○까지 가 주세요</t>
  </si>
  <si>
    <t>○○までお願いします</t>
  </si>
  <si>
    <t>○○마데 오네가이시마스</t>
  </si>
  <si>
    <t>숙소 주소를 보여 주는 게 가장 확실</t>
  </si>
  <si>
    <t>짐</t>
  </si>
  <si>
    <t>입장</t>
  </si>
  <si>
    <t>한 명이에요</t>
  </si>
  <si>
    <t>一人です</t>
  </si>
  <si>
    <t>히토리데스</t>
  </si>
  <si>
    <t>손가락 하나를 들어 보여도 됨</t>
  </si>
  <si>
    <t>空いていますか？</t>
  </si>
  <si>
    <t>주문</t>
  </si>
  <si>
    <t>메뉴 주세요</t>
  </si>
  <si>
    <t>おすすめは何ですか？</t>
  </si>
  <si>
    <t>지역 명물을 물을 때 가장 유용</t>
  </si>
  <si>
    <t>이걸로 주세요</t>
  </si>
  <si>
    <t>これをください</t>
  </si>
  <si>
    <t>코레오 쿠다사이</t>
  </si>
  <si>
    <t>메뉴 사진을 가리키며</t>
  </si>
  <si>
    <t>생맥주 하나 주세요</t>
  </si>
  <si>
    <t>물 주세요</t>
  </si>
  <si>
    <t>お水をください</t>
  </si>
  <si>
    <t>오미즈오 쿠다사이</t>
  </si>
  <si>
    <t>대부분 무료로 줌</t>
  </si>
  <si>
    <t>大盛りで</t>
  </si>
  <si>
    <t>걷는 날엔 유용</t>
  </si>
  <si>
    <t>○○ 빼 주세요</t>
  </si>
  <si>
    <t>○○누키데 오네가이시마스</t>
  </si>
  <si>
    <t>食券はどこで買いますか？</t>
  </si>
  <si>
    <t>식사</t>
  </si>
  <si>
    <t>잘 먹겠습니다</t>
  </si>
  <si>
    <t>いただきます</t>
  </si>
  <si>
    <t>이타다키마스</t>
  </si>
  <si>
    <t>잘 먹었습니다</t>
  </si>
  <si>
    <t>ごちそうさまでした</t>
  </si>
  <si>
    <t>나갈 때 말하면 좋아함</t>
  </si>
  <si>
    <t>계산</t>
  </si>
  <si>
    <t>계산해 주세요</t>
  </si>
  <si>
    <t>시골 식당은 현금만 받는 곳이 아직 많음</t>
  </si>
  <si>
    <t>포장</t>
  </si>
  <si>
    <t>숙소</t>
  </si>
  <si>
    <t>체크인</t>
  </si>
  <si>
    <t>チェックインお願いします。予約した○○です</t>
  </si>
  <si>
    <t>荷物を預かってもらえますか？</t>
  </si>
  <si>
    <t>시간</t>
  </si>
  <si>
    <t>チェックアウトは何時ですか？</t>
  </si>
  <si>
    <t>朝食は何時からですか？</t>
  </si>
  <si>
    <t>시설</t>
  </si>
  <si>
    <t>大浴場はどこですか？</t>
  </si>
  <si>
    <t>洗濯機はありますか？</t>
  </si>
  <si>
    <t>연박</t>
  </si>
  <si>
    <t>もう一泊できますか？</t>
  </si>
  <si>
    <t>택배</t>
  </si>
  <si>
    <t>次の宿に荷物を送れますか？</t>
  </si>
  <si>
    <t>온천</t>
  </si>
  <si>
    <t>입욕</t>
  </si>
  <si>
    <t>入浴料はいくらですか？</t>
  </si>
  <si>
    <t>タオルを借りられますか？</t>
  </si>
  <si>
    <t>당일 온천은 수건을 사거나 빌려야 하는 곳이 많음</t>
  </si>
  <si>
    <t>문신이 있으면 입장을 거절하는 곳이 있음</t>
  </si>
  <si>
    <t>가격</t>
  </si>
  <si>
    <t>いくらですか？</t>
  </si>
  <si>
    <t>편의점</t>
  </si>
  <si>
    <t>데워 주세요</t>
  </si>
  <si>
    <t>아타타메테 쿠다사이</t>
  </si>
  <si>
    <t>봉투 필요 없어요</t>
  </si>
  <si>
    <t>袋はいりません</t>
  </si>
  <si>
    <t>후쿠로와 이리마셍</t>
  </si>
  <si>
    <t>면세</t>
  </si>
  <si>
    <t>여권이 필요</t>
  </si>
  <si>
    <t>물건</t>
  </si>
  <si>
    <t>○○はありますか？</t>
  </si>
  <si>
    <t>약국</t>
  </si>
  <si>
    <t>靴ずれ用の絆創膏はありますか？</t>
  </si>
  <si>
    <t>십푸오 쿠다사이</t>
  </si>
  <si>
    <t>증상</t>
  </si>
  <si>
    <t>발목이 아파요</t>
  </si>
  <si>
    <t>足首が痛いです</t>
  </si>
  <si>
    <t>아시쿠비가 이타이데스</t>
  </si>
  <si>
    <t>몸이 안 좋아요</t>
  </si>
  <si>
    <t>키분가 와루이데스</t>
  </si>
  <si>
    <t>병원</t>
  </si>
  <si>
    <t>병원에 가고 싶어요</t>
  </si>
  <si>
    <t>病院に行きたいです</t>
  </si>
  <si>
    <t>긴급</t>
  </si>
  <si>
    <t>助けてください！</t>
  </si>
  <si>
    <t>분실</t>
  </si>
  <si>
    <t>○○를 잃어버렸어요</t>
  </si>
  <si>
    <t>○○をなくしました</t>
  </si>
  <si>
    <t>○○오 나쿠시마시타</t>
  </si>
  <si>
    <t>숫자</t>
  </si>
  <si>
    <t>주문할 때 손가락과 함께</t>
  </si>
  <si>
    <t>한 달, 800km 나를 되찾는 53개의 쉼표 그리고 새로운 시작</t>
  </si>
  <si>
    <t>도카이도 도보 여행 · 2026.12.4 ~ 2027.1.3 · 시나가와 → 하코네 → 교토 산조오하시 → 아리마 온천 → 오사카</t>
  </si>
  <si>
    <t>출발(예상)</t>
  </si>
  <si>
    <t>도착(예상)</t>
  </si>
  <si>
    <t>이동 순서 (교통·걷기·관광)</t>
  </si>
  <si>
    <t>명소 (꼭 갈 곳·온천)</t>
  </si>
  <si>
    <t>특산품·공예·산업</t>
  </si>
  <si>
    <t>지금의 모습 (어떤 도시인가)</t>
  </si>
  <si>
    <t>2박</t>
  </si>
  <si>
    <t>1 시나가와 (숙박하며 구경)</t>
  </si>
  <si>
    <t>교통)하네다공항역 → 시나가와역 (게이큐)</t>
  </si>
  <si>
    <r>
      <t xml:space="preserve">신칸센과 하네다공항으로 이어지는 도쿄 남쪽 관문이자 대기업 본사가 모인 업무 지구. </t>
    </r>
    <r>
      <rPr>
        <b/>
        <sz val="10"/>
        <color rgb="FFC00000"/>
        <rFont val="Pretendard SemiBold"/>
        <family val="3"/>
        <charset val="129"/>
      </rPr>
      <t>리니어 주오 신칸센</t>
    </r>
    <r>
      <rPr>
        <sz val="10"/>
        <color rgb="FF000000"/>
        <rFont val="Pretendard SemiBold"/>
        <family val="3"/>
        <charset val="129"/>
      </rPr>
      <t>의 출발역도 이곳에 짓고 있습니다.</t>
    </r>
  </si>
  <si>
    <t>교통 이유: 공항에서 숙소로 가는 도착일 이동.</t>
  </si>
  <si>
    <t>관광)도쿄 관광 (지하철)</t>
  </si>
  <si>
    <r>
      <t>니혼바시</t>
    </r>
    <r>
      <rPr>
        <sz val="10"/>
        <color rgb="FF000000"/>
        <rFont val="Pretendard SemiBold"/>
        <family val="3"/>
        <charset val="129"/>
      </rPr>
      <t xml:space="preserve"> (다리 한가운데 일본 도로 원점), </t>
    </r>
    <r>
      <rPr>
        <b/>
        <sz val="10"/>
        <color rgb="FFC00000"/>
        <rFont val="Pretendard SemiBold"/>
        <family val="3"/>
        <charset val="129"/>
      </rPr>
      <t>아사쿠사 센소지</t>
    </r>
    <r>
      <rPr>
        <sz val="10"/>
        <color rgb="FF000000"/>
        <rFont val="Pretendard SemiBold"/>
        <family val="3"/>
        <charset val="129"/>
      </rPr>
      <t>, 긴자</t>
    </r>
  </si>
  <si>
    <r>
      <t xml:space="preserve">쓰키지 장외시장: </t>
    </r>
    <r>
      <rPr>
        <b/>
        <sz val="10"/>
        <color rgb="FFC00000"/>
        <rFont val="Pretendard SemiBold"/>
        <family val="3"/>
        <charset val="129"/>
      </rPr>
      <t>초밥</t>
    </r>
    <r>
      <rPr>
        <sz val="10"/>
        <color rgb="FF000000"/>
        <rFont val="Pretendard SemiBold"/>
        <family val="3"/>
        <charset val="129"/>
      </rPr>
      <t>, 계란말이</t>
    </r>
  </si>
  <si>
    <t>니혼바시 노포: 가쓰오부시 '닌벤', 김 '야마모토노리'</t>
  </si>
  <si>
    <t>옛 상업 중심지이자 지금도 증권거래소와 은행 본점이 모인 금융가. 다리 위를 덮은 수도고속도로를 지하로 옮기는 공사가 진행 중입니다.</t>
  </si>
  <si>
    <t>교통 이유: 도쿄 시내 관광은 지하철이 편함.</t>
  </si>
  <si>
    <t>하코네·후지</t>
  </si>
  <si>
    <t>1박</t>
  </si>
  <si>
    <t>교통+걷기</t>
  </si>
  <si>
    <r>
      <t xml:space="preserve">오이소 소나무 가로수길, </t>
    </r>
    <r>
      <rPr>
        <b/>
        <sz val="10"/>
        <color rgb="FFC00000"/>
        <rFont val="Pretendard SemiBold"/>
        <family val="3"/>
        <charset val="129"/>
      </rPr>
      <t>오다와라성</t>
    </r>
  </si>
  <si>
    <r>
      <t xml:space="preserve">오다와라역 주변: </t>
    </r>
    <r>
      <rPr>
        <b/>
        <sz val="10"/>
        <color rgb="FFC00000"/>
        <rFont val="Pretendard SemiBold"/>
        <family val="3"/>
        <charset val="129"/>
      </rPr>
      <t>가마보코</t>
    </r>
    <r>
      <rPr>
        <sz val="10"/>
        <color rgb="FF000000"/>
        <rFont val="Pretendard SemiBold"/>
        <family val="3"/>
        <charset val="129"/>
      </rPr>
      <t xml:space="preserve"> (어묵), 전갱이 덮밥</t>
    </r>
  </si>
  <si>
    <t>오다와라: 가마보코 (어묵), 우메보시 (매실 장아찌), 오다와라 칠기</t>
  </si>
  <si>
    <t>신칸센이 서는 하코네 관광의 입구 도시. 오이소는 메이지 시대부터 총리 등 정치인의 별장지로 유명했습니다.</t>
  </si>
  <si>
    <t>10 하코네</t>
  </si>
  <si>
    <t>걷기)오다와라 → 하코네 옛 돌길 → 아마자케차야 → 하코네 관소</t>
  </si>
  <si>
    <r>
      <t xml:space="preserve">하코네유모토: 온천 만주
</t>
    </r>
    <r>
      <rPr>
        <b/>
        <sz val="10"/>
        <color rgb="FFC00000"/>
        <rFont val="Pretendard SemiBold"/>
        <family val="3"/>
        <charset val="129"/>
      </rPr>
      <t>아마자케</t>
    </r>
    <r>
      <rPr>
        <sz val="10"/>
        <color rgb="FF000000"/>
        <rFont val="Pretendard SemiBold"/>
        <family val="3"/>
        <charset val="129"/>
      </rPr>
      <t>차야 (돌길 중간): 아마자케, 지카라모치 떡</t>
    </r>
  </si>
  <si>
    <r>
      <t xml:space="preserve">하타주쿠 (돌길 입구 마을): 하코네 </t>
    </r>
    <r>
      <rPr>
        <b/>
        <sz val="10"/>
        <color rgb="FFC00000"/>
        <rFont val="Pretendard SemiBold"/>
        <family val="3"/>
        <charset val="129"/>
      </rPr>
      <t>요세기자이쿠</t>
    </r>
    <r>
      <rPr>
        <sz val="10"/>
        <color rgb="FF000000"/>
        <rFont val="Pretendard SemiBold"/>
        <family val="3"/>
        <charset val="129"/>
      </rPr>
      <t xml:space="preserve"> (나무 쪽매붙임 공예)</t>
    </r>
  </si>
  <si>
    <r>
      <t>도쿄 사람들이 주말에 찾는 대표 온천 휴양지. 매년 1월 2~3일에는 대학생들이 도쿄~하코네를 왕복하는 역전 마라톤 '</t>
    </r>
    <r>
      <rPr>
        <b/>
        <sz val="10"/>
        <color rgb="FFC00000"/>
        <rFont val="Pretendard SemiBold"/>
        <family val="3"/>
        <charset val="129"/>
      </rPr>
      <t>하코네 에키덴</t>
    </r>
    <r>
      <rPr>
        <sz val="10"/>
        <color rgb="FF000000"/>
        <rFont val="Pretendard SemiBold"/>
        <family val="3"/>
        <charset val="129"/>
      </rPr>
      <t>'이 이 길을 달리는데, 일본 새해 최고 인기 중계입니다.</t>
    </r>
  </si>
  <si>
    <t>관광)아시노호수 유람선·온시하코네 공원·숙소 온천</t>
  </si>
  <si>
    <r>
      <t xml:space="preserve">아시노호수 유람선 (맑으면 호수 너머 후지산), 온시하코네 공원 (옛 황실 별궁 터, 호수 전망)
온천: </t>
    </r>
    <r>
      <rPr>
        <b/>
        <sz val="10"/>
        <color rgb="FFC00000"/>
        <rFont val="Pretendard SemiBold"/>
        <family val="3"/>
        <charset val="129"/>
      </rPr>
      <t>숙소 온천에서 푹 쉬기</t>
    </r>
    <r>
      <rPr>
        <sz val="10"/>
        <color rgb="FF000000"/>
        <rFont val="Pretendard SemiBold"/>
        <family val="3"/>
        <charset val="129"/>
      </rPr>
      <t xml:space="preserve"> · 기운이 남으면 하코네유모토 온천 당일 입욕 (버스 약 40분)</t>
    </r>
  </si>
  <si>
    <r>
      <t xml:space="preserve">하코네마치·모토하코네: 아시노호수 </t>
    </r>
    <r>
      <rPr>
        <b/>
        <sz val="10"/>
        <color rgb="FFC00000"/>
        <rFont val="Pretendard SemiBold"/>
        <family val="3"/>
        <charset val="129"/>
      </rPr>
      <t>빙어(와카사기) 튀김</t>
    </r>
    <r>
      <rPr>
        <sz val="10"/>
        <color rgb="FF000000"/>
        <rFont val="Pretendard SemiBold"/>
        <family val="3"/>
        <charset val="129"/>
      </rPr>
      <t>, 송어 요리
오와쿠다니 (선택, 로프웨이): 구로타마고 (검은 달걀)</t>
    </r>
  </si>
  <si>
    <r>
      <t xml:space="preserve">아시노호수는 </t>
    </r>
    <r>
      <rPr>
        <b/>
        <sz val="10"/>
        <color rgb="FFC00000"/>
        <rFont val="Pretendard SemiBold"/>
        <family val="3"/>
        <charset val="129"/>
      </rPr>
      <t>약 3,000년 전</t>
    </r>
    <r>
      <rPr>
        <sz val="10"/>
        <color rgb="FF000000"/>
        <rFont val="Pretendard SemiBold"/>
        <family val="3"/>
        <charset val="129"/>
      </rPr>
      <t xml:space="preserve"> 하코네 화산 활동으로 생긴 호수입니다. 온시하코네 공원은 메이지 시대 황실 별궁(하코네 이궁)이 있던 자리입니다.</t>
    </r>
  </si>
  <si>
    <t>하코네 고개를 넘기 전, 산길 이틀 사이에 하루 쉬며 발과 다리를 회복하는 날입니다. 날씨가 나쁘면 이날을 예비일로 써서 하루 늦게 고개를 넘습니다.</t>
  </si>
  <si>
    <t>결빙·폭설 예보가 있으면 이날을 예비일로 써서 하루 늦게 고개를 넘어도 됨</t>
  </si>
  <si>
    <t>11 미시마</t>
  </si>
  <si>
    <t>걷기)하코네 관소 → 하코네 고개 → 야마나카성터 → 미시마 다이샤</t>
  </si>
  <si>
    <t>미시마 다이샤: '후쿠타로' 떡
미시마: 미시마 채소 (하코네 서쪽 산비탈 밭)</t>
  </si>
  <si>
    <r>
      <t xml:space="preserve">야마나카성은 호조 가문이 히데요시군을 막으려 쌓은 산성으로 </t>
    </r>
    <r>
      <rPr>
        <b/>
        <sz val="10"/>
        <color rgb="FFC00000"/>
        <rFont val="Pretendard SemiBold"/>
        <family val="3"/>
        <charset val="129"/>
      </rPr>
      <t>1590년 하루 만에 함락</t>
    </r>
    <r>
      <rPr>
        <sz val="10"/>
        <color rgb="FF000000"/>
        <rFont val="Pretendard SemiBold"/>
        <family val="3"/>
        <charset val="129"/>
      </rPr>
      <t>. 미시마 다이샤는 미나모토노 요리토모가 거병 전 승리를 빈 신사입니다.</t>
    </r>
  </si>
  <si>
    <r>
      <t xml:space="preserve">후지산 눈 녹은 물이 시내 곳곳에서 솟는 </t>
    </r>
    <r>
      <rPr>
        <b/>
        <sz val="10"/>
        <color rgb="FFC00000"/>
        <rFont val="Pretendard SemiBold"/>
        <family val="3"/>
        <charset val="129"/>
      </rPr>
      <t>'물의 도시'</t>
    </r>
    <r>
      <rPr>
        <sz val="10"/>
        <color rgb="FF000000"/>
        <rFont val="Pretendard SemiBold"/>
        <family val="3"/>
        <charset val="129"/>
      </rPr>
      <t>. 신칸센으로 도쿄까지 약 45분이라 도쿄로 출퇴근하는 사람도 삽니다.</t>
    </r>
  </si>
  <si>
    <t>해안 소나무길 (가장 긴 날)</t>
  </si>
  <si>
    <t>12 누마즈
13 하라
14 요시와라</t>
  </si>
  <si>
    <t>걷기)미시마 → 누마즈 → 센본마쓰바라 → 하라 → 요시와라</t>
  </si>
  <si>
    <r>
      <t>센본마쓰바라</t>
    </r>
    <r>
      <rPr>
        <sz val="10"/>
        <color rgb="FF000000"/>
        <rFont val="Pretendard SemiBold"/>
        <family val="3"/>
        <charset val="129"/>
      </rPr>
      <t xml:space="preserve"> 소나무 해변, 누마즈항, 요시와라 상점가 (저녁 숙소 마을)
온천: 숙소 대욕장 (요시와라 일부 호텔은 작은 온천)</t>
    </r>
  </si>
  <si>
    <t>누마즈항: 전갱이 건어물 (누마즈가 일본 최대 산지)</t>
  </si>
  <si>
    <t>센본마쓰바라는 바닷바람을 막으려고 심은 소나무 숲. 하라는 일본 임제종을 다시 일으킨 선승 하쿠인의 고향입니다.</t>
  </si>
  <si>
    <r>
      <t xml:space="preserve">스루가만의 어항 도시 누마즈를 지나 제지 공업 도시 후지시 요시와라까지 걷습니다. 누마즈는 애니메이션 </t>
    </r>
    <r>
      <rPr>
        <b/>
        <sz val="10"/>
        <color rgb="FFC00000"/>
        <rFont val="Pretendard SemiBold"/>
        <family val="3"/>
        <charset val="129"/>
      </rPr>
      <t>「러브라이브! 선샤인!!」</t>
    </r>
    <r>
      <rPr>
        <sz val="10"/>
        <color rgb="FF000000"/>
        <rFont val="Pretendard SemiBold"/>
        <family val="3"/>
        <charset val="129"/>
      </rPr>
      <t>의 무대라 팬들의 '성지순례' 방문객이 많습니다.</t>
    </r>
  </si>
  <si>
    <t>15 간바라
16 유이
17 오키쓰</t>
  </si>
  <si>
    <t>걷기)요시와라 → 후지강 다리 → 간바라 → 유이 (점심) → 삿타 고개 → 오키쓰</t>
  </si>
  <si>
    <t>후지시: 종이 (화장지 등 종이 생산으로 손꼽히는 제지 도시)
유이: 사쿠라에비 (일본에서는 스루가만에서만 잡힘, 가을 어기가 12월까지)</t>
  </si>
  <si>
    <t>제지 공장 굴뚝과 후지산을 보며 후지강을 건너 작은 어촌 유이를 지나고, 삿타 고개에서 후지산과 바다를 함께 본 뒤 오키쓰 온천 숙소로 내려갑니다.</t>
  </si>
  <si>
    <t>요시와라 체크아웃
힘들 때·비 올 때: JR 도카이도선 후지·후지카와·신칸바라·유이·오키쓰역 (삿타 고개는 비 오면 미끄러우니 유이→오키쓰는 기차로)</t>
  </si>
  <si>
    <t>오키쓰: 식당이 적어 숙소 식당이 편함
미호 (선택): 해변 찻집</t>
  </si>
  <si>
    <t>오키쓰: 오키쓰다이 (옥돔 건어물)</t>
  </si>
  <si>
    <r>
      <t xml:space="preserve">오키쓰는 메이지·다이쇼 시대 정치인들의 별장지였던 조용한 바닷가 마을입니다. 약 66km를 걸은 뒤 온천에서 쉬며, 세이켄지에서 </t>
    </r>
    <r>
      <rPr>
        <b/>
        <sz val="10"/>
        <color rgb="FFC00000"/>
        <rFont val="Pretendard SemiBold"/>
        <family val="3"/>
        <charset val="129"/>
      </rPr>
      <t>조선통신사의 흔적</t>
    </r>
    <r>
      <rPr>
        <sz val="10"/>
        <color rgb="FF000000"/>
        <rFont val="Pretendard SemiBold"/>
        <family val="3"/>
        <charset val="129"/>
      </rPr>
      <t>을 천천히 봅니다.</t>
    </r>
  </si>
  <si>
    <t>약 66km를 걸은 뒤 쉬는 날 (온천).</t>
  </si>
  <si>
    <t>18 에지리
19 후추 (시즈오카)</t>
  </si>
  <si>
    <t>걷기)오키쓰 → 에지리 (시미즈, 가시노이치 점심) → 구사나기 → 시즈오카</t>
  </si>
  <si>
    <r>
      <t xml:space="preserve">시미즈 (점심): 시미즈항 가시노이치 </t>
    </r>
    <r>
      <rPr>
        <b/>
        <sz val="10"/>
        <color rgb="FFC00000"/>
        <rFont val="Pretendard SemiBold"/>
        <family val="3"/>
        <charset val="129"/>
      </rPr>
      <t>참치 덮밥</t>
    </r>
    <r>
      <rPr>
        <sz val="10"/>
        <color rgb="FF000000"/>
        <rFont val="Pretendard SemiBold"/>
        <family val="3"/>
        <charset val="129"/>
      </rPr>
      <t xml:space="preserve"> (옛길에서 약 1km)
시즈오카역 주변 (저녁): </t>
    </r>
    <r>
      <rPr>
        <b/>
        <sz val="10"/>
        <color rgb="FFC00000"/>
        <rFont val="Pretendard SemiBold"/>
        <family val="3"/>
        <charset val="129"/>
      </rPr>
      <t>시즈오카 오뎅</t>
    </r>
    <r>
      <rPr>
        <sz val="10"/>
        <color rgb="FF000000"/>
        <rFont val="Pretendard SemiBold"/>
        <family val="3"/>
        <charset val="129"/>
      </rPr>
      <t xml:space="preserve"> (검은 국물)</t>
    </r>
  </si>
  <si>
    <t>시즈오카: 녹차, 프라모델 (일본 프라모델 대부분을 생산)</t>
  </si>
  <si>
    <r>
      <t xml:space="preserve">구사나기는 야마토타케루가 들판에서 불길에 갇히자 칼로 풀을 베어 빠져나왔다는 전설에서 이름이 왔고, 그 칼이 아쓰타 신궁에 모신 </t>
    </r>
    <r>
      <rPr>
        <b/>
        <sz val="10"/>
        <color rgb="FFC00000"/>
        <rFont val="Pretendard SemiBold"/>
        <family val="3"/>
        <charset val="129"/>
      </rPr>
      <t>구사나기 검</t>
    </r>
    <r>
      <rPr>
        <sz val="10"/>
        <color rgb="FF000000"/>
        <rFont val="Pretendard SemiBold"/>
        <family val="3"/>
        <charset val="129"/>
      </rPr>
      <t>입니다. 도쿠가와 이에야스가 말년을 보낸 슨푸가 지금의 시즈오카입니다.</t>
    </r>
  </si>
  <si>
    <t>시즈오카현의 현청 소재지. 녹차 거래의 중심이고, 타미야·반다이 공장이 있는 '프라모델의 수도'로 불립니다.</t>
  </si>
  <si>
    <t>오키쓰 체크아웃
힘들 때·비 올 때: JR 도카이도선 오키쓰·시미즈·구사나기·히가시시즈오카·시즈오카역</t>
  </si>
  <si>
    <t>20 마리코
21 오카베
22 후지에다</t>
  </si>
  <si>
    <t>걷기)시즈오카 → 마리코 (조지야 점심) → 우쓰노야 고개 → 오카베 → 후지에다</t>
  </si>
  <si>
    <r>
      <t xml:space="preserve">마리코 조지야 (점심, 월요일은 11:00~14:00 무렵): </t>
    </r>
    <r>
      <rPr>
        <b/>
        <sz val="10"/>
        <color rgb="FFC00000"/>
        <rFont val="Pretendard SemiBold"/>
        <family val="3"/>
        <charset val="129"/>
      </rPr>
      <t>도로로지루</t>
    </r>
    <r>
      <rPr>
        <sz val="10"/>
        <color rgb="FF000000"/>
        <rFont val="Pretendard SemiBold"/>
        <family val="3"/>
        <charset val="129"/>
      </rPr>
      <t xml:space="preserve"> (참마즙 정식)
오카베: 아사히나 </t>
    </r>
    <r>
      <rPr>
        <b/>
        <sz val="10"/>
        <color rgb="FFC00000"/>
        <rFont val="Pretendard SemiBold"/>
        <family val="3"/>
        <charset val="129"/>
      </rPr>
      <t>교쿠로</t>
    </r>
    <r>
      <rPr>
        <sz val="10"/>
        <color rgb="FF000000"/>
        <rFont val="Pretendard SemiBold"/>
        <family val="3"/>
        <charset val="129"/>
      </rPr>
      <t xml:space="preserve"> (일본 3대 교쿠로 산지의 고급 녹차) 찻집
후지에다 시내 (저녁): 식당가</t>
    </r>
  </si>
  <si>
    <t>우쓰노야 고개 마을: '주단고' (작은 경단을 꿴 액막이)</t>
  </si>
  <si>
    <t>마리코의 도로로지루는 바쇼의 하이쿠에도 나오는 명물입니다. 우쓰노야 고개의 '쓰타노호소미치'(담쟁이 오솔길)는 헤이안 시대 『이세 이야기』에 나오는 옛길입니다.</t>
  </si>
  <si>
    <t>시즈오카 시내에서 조금만 벗어나면 차밭과 산이 이어지는 조용한 산골. 고개를 넘어 오카베를 지나면 축구의 도시 후지에다입니다.</t>
  </si>
  <si>
    <t>시즈오카 체크아웃
힘들 때·비 올 때: 시즈테쓰 버스 (시즈오카역 → 마리코, 국도 1호선 우쓰노야 입구·오카베 정류장 → 후지에다)</t>
  </si>
  <si>
    <t>23 시마다</t>
  </si>
  <si>
    <t>걷기)후지에다 → 시마다역</t>
  </si>
  <si>
    <t>시마다 오이가와 가와고시 유적 (강 건너기 대기소 거리)</t>
  </si>
  <si>
    <r>
      <t xml:space="preserve">후지에다 시내: </t>
    </r>
    <r>
      <rPr>
        <b/>
        <sz val="10"/>
        <color rgb="FFC00000"/>
        <rFont val="Pretendard SemiBold"/>
        <family val="3"/>
        <charset val="129"/>
      </rPr>
      <t>아침 라멘</t>
    </r>
    <r>
      <rPr>
        <sz val="10"/>
        <color rgb="FF000000"/>
        <rFont val="Pretendard SemiBold"/>
        <family val="3"/>
        <charset val="129"/>
      </rPr>
      <t xml:space="preserve"> (아침부터 라멘을 먹는 지역 문화)</t>
    </r>
  </si>
  <si>
    <r>
      <t xml:space="preserve">에도 막부는 방어를 위해 </t>
    </r>
    <r>
      <rPr>
        <b/>
        <sz val="10"/>
        <color rgb="FFC00000"/>
        <rFont val="Pretendard SemiBold"/>
        <family val="3"/>
        <charset val="129"/>
      </rPr>
      <t>오이가와에 다리를 놓지 않아</t>
    </r>
    <r>
      <rPr>
        <sz val="10"/>
        <color rgb="FF000000"/>
        <rFont val="Pretendard SemiBold"/>
        <family val="3"/>
        <charset val="129"/>
      </rPr>
      <t>, 여행자는 인부의 어깨나 가마에 실려 강을 건넜습니다.</t>
    </r>
  </si>
  <si>
    <r>
      <t xml:space="preserve">후지에다는 고교 축구 명문교가 모여 </t>
    </r>
    <r>
      <rPr>
        <b/>
        <sz val="10"/>
        <color rgb="FFC00000"/>
        <rFont val="Pretendard SemiBold"/>
        <family val="3"/>
        <charset val="129"/>
      </rPr>
      <t>'축구의 도시'</t>
    </r>
    <r>
      <rPr>
        <sz val="10"/>
        <color rgb="FF000000"/>
        <rFont val="Pretendard SemiBold"/>
        <family val="3"/>
        <charset val="129"/>
      </rPr>
      <t>로 불립니다. 시마다 옆 오이가와 철도에서는 지금도 증기기관차가 달립니다.</t>
    </r>
  </si>
  <si>
    <t>후지에다 체크아웃
짧은 날: 늦잠 자고 출발.
힘들 때·비 올 때: JR 도카이도선 후지에다·롯고·시마다역</t>
  </si>
  <si>
    <t>24 가나야
25 닛사카
26 가케가와</t>
  </si>
  <si>
    <r>
      <t xml:space="preserve">가나야 돌길 위 찻집: 녹차
닛사카 (사요노나카야마 고개 찻집): </t>
    </r>
    <r>
      <rPr>
        <b/>
        <sz val="10"/>
        <color rgb="FFC00000"/>
        <rFont val="Pretendard SemiBold"/>
        <family val="3"/>
        <charset val="129"/>
      </rPr>
      <t>고소다테 아메</t>
    </r>
    <r>
      <rPr>
        <sz val="10"/>
        <color rgb="FF000000"/>
        <rFont val="Pretendard SemiBold"/>
        <family val="3"/>
        <charset val="129"/>
      </rPr>
      <t xml:space="preserve"> (물엿)</t>
    </r>
  </si>
  <si>
    <r>
      <t xml:space="preserve">마키노하라: </t>
    </r>
    <r>
      <rPr>
        <b/>
        <sz val="10"/>
        <color rgb="FFC00000"/>
        <rFont val="Pretendard SemiBold"/>
        <family val="3"/>
        <charset val="129"/>
      </rPr>
      <t xml:space="preserve">녹차 (일본 최대 차 산지)
</t>
    </r>
    <r>
      <rPr>
        <sz val="10"/>
        <color rgb="FF000000"/>
        <rFont val="Pretendard SemiBold"/>
        <family val="3"/>
        <charset val="129"/>
      </rPr>
      <t>닛사카: 고소다테 아메
가케가와: 구즈후 (칡 섬유로 짠 전통 직물)</t>
    </r>
  </si>
  <si>
    <t>요나키이시 전설: 산적에게 죽은 임신부의 혼이 돌에 깃들어 밤마다 울었고, 태어난 아기를 스님이 물엿으로 키웠다는 이야기. 그 물엿이 고소다테 아메입니다.</t>
  </si>
  <si>
    <t>끝없이 펼쳐진 차밭 지대. 근처에 시즈오카공항이 있고, 가케가와는 신칸센이 서는 차 산업 도시입니다.</t>
  </si>
  <si>
    <t>하마나호 (와시즈)</t>
  </si>
  <si>
    <r>
      <t xml:space="preserve">벤텐지마·아라이 (점심): </t>
    </r>
    <r>
      <rPr>
        <b/>
        <sz val="10"/>
        <color rgb="FFC00000"/>
        <rFont val="Pretendard SemiBold"/>
        <family val="3"/>
        <charset val="129"/>
      </rPr>
      <t>장어</t>
    </r>
    <r>
      <rPr>
        <sz val="10"/>
        <color rgb="FF000000"/>
        <rFont val="Pretendard SemiBold"/>
        <family val="3"/>
        <charset val="129"/>
      </rPr>
      <t>, 굴 (겨울이 제철)
와시즈 (저녁): 숙소 주변 식당</t>
    </r>
  </si>
  <si>
    <t>하마나호: 장어·굴 양식</t>
  </si>
  <si>
    <r>
      <t xml:space="preserve">하마나호는 원래 민물 호수였는데, </t>
    </r>
    <r>
      <rPr>
        <b/>
        <sz val="10"/>
        <color rgb="FFC00000"/>
        <rFont val="Pretendard SemiBold"/>
        <family val="3"/>
        <charset val="129"/>
      </rPr>
      <t>1498년</t>
    </r>
    <r>
      <rPr>
        <sz val="10"/>
        <color rgb="FF000000"/>
        <rFont val="Pretendard SemiBold"/>
        <family val="3"/>
        <charset val="129"/>
      </rPr>
      <t xml:space="preserve"> 큰 지진과 해일로 바다와 이어져 지금 같은 바닷물 호수가 되었습니다. 아라이 관소는 하코네와 함께 </t>
    </r>
    <r>
      <rPr>
        <b/>
        <sz val="10"/>
        <color rgb="FFC00000"/>
        <rFont val="Pretendard SemiBold"/>
        <family val="3"/>
        <charset val="129"/>
      </rPr>
      <t>도카이도의 2대 관소</t>
    </r>
    <r>
      <rPr>
        <sz val="10"/>
        <color rgb="FF000000"/>
        <rFont val="Pretendard SemiBold"/>
        <family val="3"/>
        <charset val="129"/>
      </rPr>
      <t>로, 하마나호를 배로 건너온 여행자를 검문했습니다.</t>
    </r>
  </si>
  <si>
    <r>
      <t xml:space="preserve">아라이가 속한 고사이시는 도요타 그룹 창업자 </t>
    </r>
    <r>
      <rPr>
        <b/>
        <sz val="10"/>
        <color rgb="FFC00000"/>
        <rFont val="Pretendard SemiBold"/>
        <family val="3"/>
        <charset val="129"/>
      </rPr>
      <t>도요다 사키치의 고향</t>
    </r>
    <r>
      <rPr>
        <sz val="10"/>
        <color rgb="FF000000"/>
        <rFont val="Pretendard SemiBold"/>
        <family val="3"/>
        <charset val="129"/>
      </rPr>
      <t>입니다. 하마나호는 장어와 굴 양식으로 유명합니다.</t>
    </r>
  </si>
  <si>
    <r>
      <t xml:space="preserve">간잔지·하마마쓰: </t>
    </r>
    <r>
      <rPr>
        <b/>
        <sz val="10"/>
        <color rgb="FFC00000"/>
        <rFont val="Pretendard SemiBold"/>
        <family val="3"/>
        <charset val="129"/>
      </rPr>
      <t>장어 덮밥</t>
    </r>
    <r>
      <rPr>
        <sz val="10"/>
        <color rgb="FF000000"/>
        <rFont val="Pretendard SemiBold"/>
        <family val="3"/>
        <charset val="129"/>
      </rPr>
      <t>, 하마마쓰 교자</t>
    </r>
  </si>
  <si>
    <r>
      <t xml:space="preserve">하마마쓰성은 이에야스가 29세부터 17년간 머물며 세력을 키운 </t>
    </r>
    <r>
      <rPr>
        <b/>
        <sz val="10"/>
        <color rgb="FFC00000"/>
        <rFont val="Pretendard SemiBold"/>
        <family val="3"/>
        <charset val="129"/>
      </rPr>
      <t>'출세의 성'</t>
    </r>
    <r>
      <rPr>
        <sz val="10"/>
        <color rgb="FF000000"/>
        <rFont val="Pretendard SemiBold"/>
        <family val="3"/>
        <charset val="129"/>
      </rPr>
      <t>입니다. 간잔지는 8세기 고승 교키가 열었다고 전하는 절로, 호숫가 온천 마을의 이름이 되었습니다.</t>
    </r>
  </si>
  <si>
    <t>약 93km를 걸은 뒤 호숫가에서 쉬는 날. 하마나호는 둘레 약 114km의 바닷물 호수로 장어·굴 양식과 저녁 노을로 유명합니다.</t>
  </si>
  <si>
    <t>약 93km를 걸은 뒤 쉬는 날 (호숫가).</t>
  </si>
  <si>
    <t>32 시라스카
33 후타가와
34 요시다 (도요하시)</t>
  </si>
  <si>
    <t>걷기)와시즈 → 시라스카 → 시오미자카 → 후타가와 본진 → 도요하시</t>
  </si>
  <si>
    <r>
      <t>시오미자카</t>
    </r>
    <r>
      <rPr>
        <sz val="10"/>
        <color rgb="FF000000"/>
        <rFont val="Pretendard SemiBold"/>
        <family val="3"/>
        <charset val="129"/>
      </rPr>
      <t xml:space="preserve"> (서쪽으로 가던 여행자가 처음 태평양을 보던 언덕), 후타가와주쿠 본진 자료관</t>
    </r>
  </si>
  <si>
    <r>
      <t xml:space="preserve">도요하시역 주변: </t>
    </r>
    <r>
      <rPr>
        <b/>
        <sz val="10"/>
        <color rgb="FFC00000"/>
        <rFont val="Pretendard SemiBold"/>
        <family val="3"/>
        <charset val="129"/>
      </rPr>
      <t>도요하시 카레우동</t>
    </r>
    <r>
      <rPr>
        <sz val="10"/>
        <color rgb="FF000000"/>
        <rFont val="Pretendard SemiBold"/>
        <family val="3"/>
        <charset val="129"/>
      </rPr>
      <t xml:space="preserve"> (아래에 밥과 참마즙이 깔린 우동)</t>
    </r>
  </si>
  <si>
    <t>도요하시: 붓 (국가 전통공예품), 지쿠와 (어묵)</t>
  </si>
  <si>
    <t>후타가와주쿠는 다이묘가 묵던 본진 건물이 남은 도카이도의 두 역참 가운데 하나입니다(다른 하나는 구사쓰).</t>
  </si>
  <si>
    <t>아이치현 동부의 중심 도시. 노면전차가 다니고, 가까운 미카와항은 일본에서 수입차를 가장 많이 들여오는 항구입니다.</t>
  </si>
  <si>
    <t>하마나호 체크아웃
도요하시 숙소 두 곳(어소시아·도미 인)이 모두 표시돼 있으니 하나로 정하기.
힘들 때·비 올 때: JR 도카이도선 와시즈·신조하라·후타가와역</t>
  </si>
  <si>
    <t>걷기+교통</t>
  </si>
  <si>
    <t>35 고유
36 아카사카</t>
  </si>
  <si>
    <r>
      <t>고유 소나무 가로수길</t>
    </r>
    <r>
      <rPr>
        <sz val="10"/>
        <color rgb="FF000000"/>
        <rFont val="Pretendard SemiBold"/>
        <family val="3"/>
        <charset val="129"/>
      </rPr>
      <t xml:space="preserve"> (국가 천연기념물, 약 600m), 아카사카 오하시야 (에도 시대 여관 건물)</t>
    </r>
  </si>
  <si>
    <t>고유와 아카사카는 1.7km밖에 떨어지지 않은 역참이라 호객 경쟁이 치열했습니다. 오하시야는 히로시게 그림 「아카사카」의 무대로 알려진 여관입니다.</t>
  </si>
  <si>
    <t>도요카와시의 조용한 주거지. 일본 3대 이나리 신사로 꼽히는 도요카와 이나리가 가까워 새해 참배객이 많이 찾습니다.</t>
  </si>
  <si>
    <t>교통 이유: 아카사카는 숙소가 적어, 연박하는 도요하시 숙소로 돌아감.
힘들 때·비 올 때: 메이테쓰 고우·고유·메이덴아카사카역</t>
  </si>
  <si>
    <t>37 후지카와
38 오카자키</t>
  </si>
  <si>
    <r>
      <t>오카자키성</t>
    </r>
    <r>
      <rPr>
        <sz val="10"/>
        <color rgb="FF000000"/>
        <rFont val="Pretendard SemiBold"/>
        <family val="3"/>
        <charset val="129"/>
      </rPr>
      <t xml:space="preserve">, </t>
    </r>
    <r>
      <rPr>
        <b/>
        <sz val="10"/>
        <color rgb="FFC00000"/>
        <rFont val="Pretendard SemiBold"/>
        <family val="3"/>
        <charset val="129"/>
      </rPr>
      <t>핫초 미소 공장 견학</t>
    </r>
    <r>
      <rPr>
        <sz val="10"/>
        <color rgb="FF000000"/>
        <rFont val="Pretendard SemiBold"/>
        <family val="3"/>
        <charset val="129"/>
      </rPr>
      <t xml:space="preserve"> (가쿠큐·마루야, 도착 후 오후)</t>
    </r>
  </si>
  <si>
    <r>
      <t xml:space="preserve">오카자키성 주변: </t>
    </r>
    <r>
      <rPr>
        <b/>
        <sz val="10"/>
        <color rgb="FFC00000"/>
        <rFont val="Pretendard SemiBold"/>
        <family val="3"/>
        <charset val="129"/>
      </rPr>
      <t>핫초 미소 니코미 우동</t>
    </r>
  </si>
  <si>
    <t>오카자키: 핫초 미소 (콩 된장), 석제품 (돌 등롱 등, 국가 전통공예품)</t>
  </si>
  <si>
    <r>
      <t>도쿠가와 이에야스가 태어난 곳</t>
    </r>
    <r>
      <rPr>
        <sz val="10"/>
        <color rgb="FF000000"/>
        <rFont val="Pretendard SemiBold"/>
        <family val="3"/>
        <charset val="129"/>
      </rPr>
      <t>. 성에서 서쪽으로 핫초(약 870m) 떨어진 마을에서 만들어 핫초 미소라 부릅니다. 핫초 미소 공장 두 곳은 에도 시대부터 같은 자리에서 나무통에 2년 넘게 숙성하는 방식을 지키고 있습니다.</t>
    </r>
  </si>
  <si>
    <r>
      <t xml:space="preserve">도요타 자동차 관련 산업이 받치는 인구 38만의 도시. 2023년 NHK 대하드라마 </t>
    </r>
    <r>
      <rPr>
        <b/>
        <sz val="10"/>
        <color rgb="FFC00000"/>
        <rFont val="Pretendard SemiBold"/>
        <family val="3"/>
        <charset val="129"/>
      </rPr>
      <t>「어떻게 할래 이에야스」</t>
    </r>
    <r>
      <rPr>
        <sz val="10"/>
        <color rgb="FF000000"/>
        <rFont val="Pretendard SemiBold"/>
        <family val="3"/>
        <charset val="129"/>
      </rPr>
      <t>의 무대였습니다.</t>
    </r>
  </si>
  <si>
    <t>교통+걷기+교통</t>
  </si>
  <si>
    <t>39 지류
40 나루미
41 미야 (아쓰타)</t>
  </si>
  <si>
    <r>
      <t>아리마쓰 옛 거리</t>
    </r>
    <r>
      <rPr>
        <sz val="10"/>
        <color rgb="FF000000"/>
        <rFont val="Pretendard SemiBold"/>
        <family val="3"/>
        <charset val="129"/>
      </rPr>
      <t xml:space="preserve"> (전통 건축물 보존지구), 오케하자마 전투지, </t>
    </r>
    <r>
      <rPr>
        <b/>
        <sz val="10"/>
        <color rgb="FFC00000"/>
        <rFont val="Pretendard SemiBold"/>
        <family val="3"/>
        <charset val="129"/>
      </rPr>
      <t>아쓰타 신궁</t>
    </r>
  </si>
  <si>
    <r>
      <t xml:space="preserve">아쓰타 신궁 근처 (아쓰타 호라이켄 본점): </t>
    </r>
    <r>
      <rPr>
        <b/>
        <sz val="10"/>
        <color rgb="FFC00000"/>
        <rFont val="Pretendard SemiBold"/>
        <family val="3"/>
        <charset val="129"/>
      </rPr>
      <t>히쓰마부시</t>
    </r>
    <r>
      <rPr>
        <sz val="10"/>
        <color rgb="FF000000"/>
        <rFont val="Pretendard SemiBold"/>
        <family val="3"/>
        <charset val="129"/>
      </rPr>
      <t xml:space="preserve"> (1873년 창업, 장어덮밥)
아쓰타 신궁 경내: 기시멘 (넓적한 우동)</t>
    </r>
  </si>
  <si>
    <r>
      <t xml:space="preserve">아리마쓰: </t>
    </r>
    <r>
      <rPr>
        <b/>
        <sz val="10"/>
        <color rgb="FFC00000"/>
        <rFont val="Pretendard SemiBold"/>
        <family val="3"/>
        <charset val="129"/>
      </rPr>
      <t>시보리</t>
    </r>
    <r>
      <rPr>
        <sz val="10"/>
        <color rgb="FF000000"/>
        <rFont val="Pretendard SemiBold"/>
        <family val="3"/>
        <charset val="129"/>
      </rPr>
      <t xml:space="preserve"> (홀치기염색 천, 국가 전통공예품)</t>
    </r>
  </si>
  <si>
    <r>
      <t xml:space="preserve">1560년 </t>
    </r>
    <r>
      <rPr>
        <b/>
        <sz val="10"/>
        <color rgb="FFC00000"/>
        <rFont val="Pretendard SemiBold"/>
        <family val="3"/>
        <charset val="129"/>
      </rPr>
      <t>오케하자마 전투</t>
    </r>
    <r>
      <rPr>
        <sz val="10"/>
        <color rgb="FF000000"/>
        <rFont val="Pretendard SemiBold"/>
        <family val="3"/>
        <charset val="129"/>
      </rPr>
      <t>에서 오다 노부나가가 대군의 이마가와 요시모토를 기습해 이겼습니다. 아쓰타 신궁은 3종 신기 중 하나인 구사나기 검을 모신 곳입니다. 아리마쓰 옛거리는 나고야 근교에 위치한 전통 쪽빛 염색(아리마쓰 시보리)으로 유명한 옛 거리입니다. 검은 벽과 독특한 처마를 가진 옛 상가 건물이 길게 이어져 있어 걷는 재미가 쏠쏠합니다.</t>
    </r>
  </si>
  <si>
    <r>
      <t xml:space="preserve">나고야는 도쿄·오사카와 함께 </t>
    </r>
    <r>
      <rPr>
        <b/>
        <sz val="10"/>
        <color rgb="FFC00000"/>
        <rFont val="Pretendard SemiBold"/>
        <family val="3"/>
        <charset val="129"/>
      </rPr>
      <t>일본 3대 도시</t>
    </r>
    <r>
      <rPr>
        <sz val="10"/>
        <color rgb="FF000000"/>
        <rFont val="Pretendard SemiBold"/>
        <family val="3"/>
        <charset val="129"/>
      </rPr>
      <t>. 도요타를 중심으로 한 제조업의 심장부이고, 2026년 아시안게임 개최 도시입니다.</t>
    </r>
  </si>
  <si>
    <t>42 구와나 (숙박)</t>
  </si>
  <si>
    <r>
      <t xml:space="preserve">구와나 (점심): </t>
    </r>
    <r>
      <rPr>
        <b/>
        <sz val="10"/>
        <color rgb="FFC00000"/>
        <rFont val="Pretendard SemiBold"/>
        <family val="3"/>
        <charset val="129"/>
      </rPr>
      <t>대합구이</t>
    </r>
    <r>
      <rPr>
        <sz val="10"/>
        <color rgb="FF000000"/>
        <rFont val="Pretendard SemiBold"/>
        <family val="3"/>
        <charset val="129"/>
      </rPr>
      <t xml:space="preserve">·대합 샤부샤부
나고야 (저녁): </t>
    </r>
    <r>
      <rPr>
        <b/>
        <sz val="10"/>
        <color rgb="FFC00000"/>
        <rFont val="Pretendard SemiBold"/>
        <family val="3"/>
        <charset val="129"/>
      </rPr>
      <t>미소카쓰</t>
    </r>
    <r>
      <rPr>
        <sz val="10"/>
        <color rgb="FF000000"/>
        <rFont val="Pretendard SemiBold"/>
        <family val="3"/>
        <charset val="129"/>
      </rPr>
      <t>, 데바사키 (닭날개 튀김)</t>
    </r>
  </si>
  <si>
    <t>구와나: 대합 시구레니 (조림) · 나고야: 우이로 (쌀 떡과자)</t>
  </si>
  <si>
    <r>
      <t xml:space="preserve">에도 시대에는 아쓰타에서 구와나까지 </t>
    </r>
    <r>
      <rPr>
        <b/>
        <sz val="10"/>
        <color rgb="FFC00000"/>
        <rFont val="Pretendard SemiBold"/>
        <family val="3"/>
        <charset val="129"/>
      </rPr>
      <t>바다로 7리(약 28km)를 배로 건넜습니다</t>
    </r>
    <r>
      <rPr>
        <sz val="10"/>
        <color rgb="FF000000"/>
        <rFont val="Pretendard SemiBold"/>
        <family val="3"/>
        <charset val="129"/>
      </rPr>
      <t xml:space="preserve">. 그래서 이 구간은 걷는 길이 없습니다. 나고야성은 1612년 무렵 이에야스의 명으로 지은 성으로, 지붕 위 </t>
    </r>
    <r>
      <rPr>
        <b/>
        <sz val="10"/>
        <color rgb="FFC00000"/>
        <rFont val="Pretendard SemiBold"/>
        <family val="3"/>
        <charset val="129"/>
      </rPr>
      <t>금 샤치호코</t>
    </r>
    <r>
      <rPr>
        <sz val="10"/>
        <color rgb="FF000000"/>
        <rFont val="Pretendard SemiBold"/>
        <family val="3"/>
        <charset val="129"/>
      </rPr>
      <t>로 유명합니다.</t>
    </r>
  </si>
  <si>
    <t>나고야의 베드타운. 나가시마 스파랜드(놀이공원), 아웃렛, 온천, 나바나노사토가 모인 나가시마 리조트로 주말 나들이객이 몰립니다.</t>
  </si>
  <si>
    <r>
      <t>세키주쿠 옛 거리</t>
    </r>
    <r>
      <rPr>
        <sz val="10"/>
        <color rgb="FF000000"/>
        <rFont val="Pretendard SemiBold"/>
        <family val="3"/>
        <charset val="129"/>
      </rPr>
      <t xml:space="preserve"> (옛 역참 거리가 1.8km 이어진 전통 건축물 보존지구), 세키 지조인</t>
    </r>
  </si>
  <si>
    <r>
      <t xml:space="preserve">가메야마역 주변: </t>
    </r>
    <r>
      <rPr>
        <b/>
        <sz val="10"/>
        <color rgb="FFC00000"/>
        <rFont val="Pretendard SemiBold"/>
        <family val="3"/>
        <charset val="129"/>
      </rPr>
      <t>미소야키우동</t>
    </r>
    <r>
      <rPr>
        <sz val="10"/>
        <color rgb="FF000000"/>
        <rFont val="Pretendard SemiBold"/>
        <family val="3"/>
        <charset val="129"/>
      </rPr>
      <t xml:space="preserve"> · 세키주쿠 옛 거리: 세키노토 (화과자)</t>
    </r>
  </si>
  <si>
    <t>세키주쿠: 세키노토 (1600년대부터 이어진 화과자)
가메야마: 양초 (일본 대표 양초 브랜드의 고장)</t>
  </si>
  <si>
    <r>
      <t xml:space="preserve">세키주쿠는 도카이도 역참 가운데 </t>
    </r>
    <r>
      <rPr>
        <b/>
        <sz val="10"/>
        <color rgb="FFC00000"/>
        <rFont val="Pretendard SemiBold"/>
        <family val="3"/>
        <charset val="129"/>
      </rPr>
      <t>옛 모습이 가장 잘 남은 곳</t>
    </r>
    <r>
      <rPr>
        <sz val="10"/>
        <color rgb="FF000000"/>
        <rFont val="Pretendard SemiBold"/>
        <family val="3"/>
        <charset val="129"/>
      </rPr>
      <t>으로, 에도 말기~메이지 시대 건물 200여 채가 늘어서 있습니다.</t>
    </r>
  </si>
  <si>
    <r>
      <t xml:space="preserve">가메야마는 샤프의 LCD TV 공장으로 유명해져 한때 </t>
    </r>
    <r>
      <rPr>
        <b/>
        <sz val="10"/>
        <color rgb="FFC00000"/>
        <rFont val="Pretendard SemiBold"/>
        <family val="3"/>
        <charset val="129"/>
      </rPr>
      <t>'가메야마 모델'</t>
    </r>
    <r>
      <rPr>
        <sz val="10"/>
        <color rgb="FF000000"/>
        <rFont val="Pretendard SemiBold"/>
        <family val="3"/>
        <charset val="129"/>
      </rPr>
      <t>이 TV의 고급 상표처럼 쓰였습니다.</t>
    </r>
  </si>
  <si>
    <t>스즈카 고개 (산길)</t>
  </si>
  <si>
    <t>47 세키
48 사카시타
49 쓰치야마
50 미나쿠치</t>
  </si>
  <si>
    <r>
      <t xml:space="preserve">세키주쿠 옛 거리 (아침, 에도 시대 상가가 약 1.8km 이어지는 중요 전통 건조물군 보존지구), </t>
    </r>
    <r>
      <rPr>
        <b/>
        <sz val="10"/>
        <color rgb="FFC00000"/>
        <rFont val="Pretendard SemiBold"/>
        <family val="3"/>
        <charset val="129"/>
      </rPr>
      <t>스즈카 고개</t>
    </r>
    <r>
      <rPr>
        <sz val="10"/>
        <color rgb="FF000000"/>
        <rFont val="Pretendard SemiBold"/>
        <family val="3"/>
        <charset val="129"/>
      </rPr>
      <t>, 가가미이와 (거울 바위), 쓰치야마 차밭</t>
    </r>
  </si>
  <si>
    <t>쓰치야마 (도로 휴게소 아이노 쓰치야마): 쓰치야마 녹차</t>
  </si>
  <si>
    <t>쓰치야마: 쓰치야마차 (오미차)</t>
  </si>
  <si>
    <r>
      <t xml:space="preserve">하코네와 함께 </t>
    </r>
    <r>
      <rPr>
        <b/>
        <sz val="10"/>
        <color rgb="FFC00000"/>
        <rFont val="Pretendard SemiBold"/>
        <family val="3"/>
        <charset val="129"/>
      </rPr>
      <t>도카이도의 2대 난소</t>
    </r>
    <r>
      <rPr>
        <sz val="10"/>
        <color rgb="FF000000"/>
        <rFont val="Pretendard SemiBold"/>
        <family val="3"/>
        <charset val="129"/>
      </rPr>
      <t>. 산적이 많기로 유명했고, 가가미이와는 산적이 여행자를 비춰 봤다는 전설의 바위입니다.</t>
    </r>
  </si>
  <si>
    <r>
      <t xml:space="preserve">고개 너머는 시가현 고카시의 차밭 지대. 고개 동쪽 스즈카시는 </t>
    </r>
    <r>
      <rPr>
        <b/>
        <sz val="10"/>
        <color rgb="FFC00000"/>
        <rFont val="Pretendard SemiBold"/>
        <family val="3"/>
        <charset val="129"/>
      </rPr>
      <t>F1 일본 그랑프리</t>
    </r>
    <r>
      <rPr>
        <sz val="10"/>
        <color rgb="FF000000"/>
        <rFont val="Pretendard SemiBold"/>
        <family val="3"/>
        <charset val="129"/>
      </rPr>
      <t>가 열리는 스즈카 서킷이 있는 곳입니다.</t>
    </r>
  </si>
  <si>
    <t>평지 (긴 날)</t>
  </si>
  <si>
    <t>51 이시베
52 구사쓰</t>
  </si>
  <si>
    <t>걷기)미나쿠치 → 이시베 → 구사쓰주쿠 본진</t>
  </si>
  <si>
    <r>
      <t xml:space="preserve">미나쿠치 시내: </t>
    </r>
    <r>
      <rPr>
        <b/>
        <sz val="10"/>
        <color rgb="FFC00000"/>
        <rFont val="Pretendard SemiBold"/>
        <family val="3"/>
        <charset val="129"/>
      </rPr>
      <t>오미규</t>
    </r>
    <r>
      <rPr>
        <sz val="10"/>
        <color rgb="FF000000"/>
        <rFont val="Pretendard SemiBold"/>
        <family val="3"/>
        <charset val="129"/>
      </rPr>
      <t xml:space="preserve"> (시가현 소고기) 덮밥·스테이크
구사쓰주쿠 본진 근처: </t>
    </r>
    <r>
      <rPr>
        <b/>
        <sz val="10"/>
        <color rgb="FFC00000"/>
        <rFont val="Pretendard SemiBold"/>
        <family val="3"/>
        <charset val="129"/>
      </rPr>
      <t>우바가모치</t>
    </r>
    <r>
      <rPr>
        <sz val="10"/>
        <color rgb="FF000000"/>
        <rFont val="Pretendard SemiBold"/>
        <family val="3"/>
        <charset val="129"/>
      </rPr>
      <t xml:space="preserve"> (명물 떡)</t>
    </r>
  </si>
  <si>
    <r>
      <t xml:space="preserve">미나쿠치: 간표 (박고지), 구사쓰: 우바가모치
고카시: </t>
    </r>
    <r>
      <rPr>
        <b/>
        <sz val="10"/>
        <color rgb="FFC00000"/>
        <rFont val="Pretendard SemiBold"/>
        <family val="3"/>
        <charset val="129"/>
      </rPr>
      <t>시가라키야키</t>
    </r>
    <r>
      <rPr>
        <sz val="10"/>
        <color rgb="FF000000"/>
        <rFont val="Pretendard SemiBold"/>
        <family val="3"/>
        <charset val="129"/>
      </rPr>
      <t xml:space="preserve"> (도자기, 너구리 장식품이 유명)</t>
    </r>
  </si>
  <si>
    <r>
      <t>미나쿠치는 에도 시대부터 박고지가 특산품. '</t>
    </r>
    <r>
      <rPr>
        <b/>
        <sz val="10"/>
        <color rgb="FFC00000"/>
        <rFont val="Pretendard SemiBold"/>
        <family val="3"/>
        <charset val="129"/>
      </rPr>
      <t>교토를 떠나면 이시베에서 묵는다</t>
    </r>
    <r>
      <rPr>
        <sz val="10"/>
        <color rgb="FF000000"/>
        <rFont val="Pretendard SemiBold"/>
        <family val="3"/>
        <charset val="129"/>
      </rPr>
      <t>'는 말처럼 이시베는 교토에서 출발한 여행자가 첫 밤을 보내던 역참이었습니다. 도카이도와 나카센도는 구사쓰에서 합쳐져 교토로 갑니다.</t>
    </r>
  </si>
  <si>
    <r>
      <t xml:space="preserve">고난시 이시베는 공장과 주택이 섞인 교외 도시. 구사쓰는 교토·오사카 통근권이라 인구가 늘고 있는 도시이고, </t>
    </r>
    <r>
      <rPr>
        <b/>
        <sz val="10"/>
        <color rgb="FFC00000"/>
        <rFont val="Pretendard SemiBold"/>
        <family val="3"/>
        <charset val="129"/>
      </rPr>
      <t>리쓰메이칸대학</t>
    </r>
    <r>
      <rPr>
        <sz val="10"/>
        <color rgb="FF000000"/>
        <rFont val="Pretendard SemiBold"/>
        <family val="3"/>
        <charset val="129"/>
      </rPr>
      <t xml:space="preserve"> 캠퍼스가 있습니다.</t>
    </r>
  </si>
  <si>
    <t>미나쿠치 체크아웃
힘들 때·비 올 때: 오미철도 미나쿠치역, JR 구사쓰선 미쿠모·고세이·이시베·데라·구사쓰역</t>
  </si>
  <si>
    <t>평지 (짧은 날)</t>
  </si>
  <si>
    <t>걷기)구사쓰주쿠 본진 → 세타 가라하시 → 이시야마</t>
  </si>
  <si>
    <r>
      <t>세타 가라하시</t>
    </r>
    <r>
      <rPr>
        <sz val="10"/>
        <color rgb="FF000000"/>
        <rFont val="Pretendard SemiBold"/>
        <family val="3"/>
        <charset val="129"/>
      </rPr>
      <t>, 오사카 고개 (옛 관문 터)
온천: 오고토 온천 (오쓰시 비와호 서쪽, JR 고세이선)</t>
    </r>
  </si>
  <si>
    <r>
      <t xml:space="preserve">세타 가라하시 주변: </t>
    </r>
    <r>
      <rPr>
        <b/>
        <sz val="10"/>
        <color rgb="FFC00000"/>
        <rFont val="Pretendard SemiBold"/>
        <family val="3"/>
        <charset val="129"/>
      </rPr>
      <t>비와호 시지미</t>
    </r>
    <r>
      <rPr>
        <sz val="10"/>
        <color rgb="FF000000"/>
        <rFont val="Pretendard SemiBold"/>
        <family val="3"/>
        <charset val="129"/>
      </rPr>
      <t xml:space="preserve"> (재첩) 요리</t>
    </r>
  </si>
  <si>
    <r>
      <t xml:space="preserve">비와호: </t>
    </r>
    <r>
      <rPr>
        <b/>
        <sz val="10"/>
        <color rgb="FFC00000"/>
        <rFont val="Pretendard SemiBold"/>
        <family val="3"/>
        <charset val="129"/>
      </rPr>
      <t>후나즈시</t>
    </r>
    <r>
      <rPr>
        <sz val="10"/>
        <color rgb="FF000000"/>
        <rFont val="Pretendard SemiBold"/>
        <family val="3"/>
        <charset val="129"/>
      </rPr>
      <t xml:space="preserve"> (붕어 발효 초밥, 향이 강함)</t>
    </r>
  </si>
  <si>
    <r>
      <t>'세타의 가라하시를 차지하는 자가 천하를 차지한다'</t>
    </r>
    <r>
      <rPr>
        <sz val="10"/>
        <color rgb="FF000000"/>
        <rFont val="Pretendard SemiBold"/>
        <family val="3"/>
        <charset val="129"/>
      </rPr>
      <t>는 말이 있었을 만큼 비와호 남단의 군사·교통 요충지였습니다.</t>
    </r>
  </si>
  <si>
    <r>
      <t xml:space="preserve">오쓰는 시가현청 소재지로, </t>
    </r>
    <r>
      <rPr>
        <b/>
        <sz val="10"/>
        <color rgb="FFC00000"/>
        <rFont val="Pretendard SemiBold"/>
        <family val="3"/>
        <charset val="129"/>
      </rPr>
      <t>비와호는 간사이 약 1,450만 명의 물</t>
    </r>
    <r>
      <rPr>
        <sz val="10"/>
        <color rgb="FF000000"/>
        <rFont val="Pretendard SemiBold"/>
        <family val="3"/>
        <charset val="129"/>
      </rPr>
      <t>을 책임집니다. 걷기 도착점(세타 가라하시)에서 이시야마 숙소까지는 걸어서 약 10분.</t>
    </r>
  </si>
  <si>
    <t>구사쓰 체크아웃
힘들 때·비 올 때: JR 비와코선 미나미쿠사쓰·세타·이시야마역</t>
  </si>
  <si>
    <t>3박</t>
  </si>
  <si>
    <t>완주!</t>
  </si>
  <si>
    <t>53 오쓰
종점 교토 산조오하시</t>
  </si>
  <si>
    <t>걷기)이시야마 → 세타 → 오쓰 → 교토 산조오하시 (완주) → 고조 숙소 (약 1.6km)</t>
  </si>
  <si>
    <r>
      <t xml:space="preserve">게아게 인클라인, </t>
    </r>
    <r>
      <rPr>
        <b/>
        <sz val="10"/>
        <color rgb="FFC00000"/>
        <rFont val="Pretendard SemiBold"/>
        <family val="3"/>
        <charset val="129"/>
      </rPr>
      <t>산조오하시</t>
    </r>
    <r>
      <rPr>
        <sz val="10"/>
        <color rgb="FF000000"/>
        <rFont val="Pretendard SemiBold"/>
        <family val="3"/>
        <charset val="129"/>
      </rPr>
      <t xml:space="preserve"> (도카이도 종점)</t>
    </r>
  </si>
  <si>
    <r>
      <t xml:space="preserve">교토 산조 (산조오하시 근처, 완주 기념): </t>
    </r>
    <r>
      <rPr>
        <b/>
        <sz val="10"/>
        <color rgb="FFC00000"/>
        <rFont val="Pretendard SemiBold"/>
        <family val="3"/>
        <charset val="129"/>
      </rPr>
      <t>니신소바</t>
    </r>
    <r>
      <rPr>
        <sz val="10"/>
        <color rgb="FF000000"/>
        <rFont val="Pretendard SemiBold"/>
        <family val="3"/>
        <charset val="129"/>
      </rPr>
      <t xml:space="preserve"> (청어 메밀국수)</t>
    </r>
  </si>
  <si>
    <r>
      <t xml:space="preserve">산조오하시는 </t>
    </r>
    <r>
      <rPr>
        <b/>
        <sz val="10"/>
        <color rgb="FFC00000"/>
        <rFont val="Pretendard SemiBold"/>
        <family val="3"/>
        <charset val="129"/>
      </rPr>
      <t>도카이도와 나카센도의 종점</t>
    </r>
    <r>
      <rPr>
        <sz val="10"/>
        <color rgb="FF000000"/>
        <rFont val="Pretendard SemiBold"/>
        <family val="3"/>
        <charset val="129"/>
      </rPr>
      <t>으로, 1590년 도요토미 히데요시가 돌기둥 다리로 다시 지었습니다. 에도 시대 사람들은 니혼바시에서 약 2주 걸려 도착했습니다.</t>
    </r>
  </si>
  <si>
    <r>
      <t xml:space="preserve">산조오하시 일대는 가모강변을 따라 식당과 술집이 모인 교토 최대 번화가입니다. </t>
    </r>
    <r>
      <rPr>
        <b/>
        <sz val="10"/>
        <color rgb="FFC00000"/>
        <rFont val="Pretendard SemiBold"/>
        <family val="3"/>
        <charset val="129"/>
      </rPr>
      <t>드디어 도카이도 완주</t>
    </r>
    <r>
      <rPr>
        <sz val="10"/>
        <color rgb="FF000000"/>
        <rFont val="Pretendard SemiBold"/>
        <family val="3"/>
        <charset val="129"/>
      </rPr>
      <t>! 걷기를 오후 일찍 마치니, 남는 시간에 가모강변이나 기온을 가볍게 둘러봐도 좋습니다.</t>
    </r>
  </si>
  <si>
    <t>도카이도 완주 · 이시야마 체크아웃
완주! 교토 3박 (완주한 날·예비일·관광일).
힘들 때·비 올 때: 게이한 게이신선 (오쓰·오타니·게아게역), JR 오쓰역</t>
  </si>
  <si>
    <t>관광)예비일 (밀린 걷기) 또는 아라시야마·긴카쿠지 (선택)</t>
  </si>
  <si>
    <t>아라시야마: 유도후 (두부 요리)
교토 시내: 오반자이 (교토 가정식 반찬)</t>
  </si>
  <si>
    <t>아라시야마는 헤이안 시대 귀족들의 별장지였고, 덴류지는 1339년 아시카가 다카우지가 세운 절로 세계유산입니다.</t>
  </si>
  <si>
    <t>일정이 밀리지 않았다면 교토에서 하루 더 쉬는 날. 완주 다음 날이라 몸 상태를 보며 가볍게 움직이세요.</t>
  </si>
  <si>
    <t>비·부상으로 밀린 날이 있으면 이날로 메우고, 없으면 쉬거나 관광. 연말연시(12/29~1/3)에는 쉬는 식당·가게가 많으니 미리 확인.</t>
  </si>
  <si>
    <t>관광)기요미즈데라·후시미이나리 신사 관광</t>
  </si>
  <si>
    <r>
      <t>기요미즈데라</t>
    </r>
    <r>
      <rPr>
        <sz val="10"/>
        <color rgb="FF000000"/>
        <rFont val="Pretendard SemiBold"/>
        <family val="3"/>
        <charset val="129"/>
      </rPr>
      <t xml:space="preserve">, </t>
    </r>
    <r>
      <rPr>
        <b/>
        <sz val="10"/>
        <color rgb="FFC00000"/>
        <rFont val="Pretendard SemiBold"/>
        <family val="3"/>
        <charset val="129"/>
      </rPr>
      <t>후시미이나리 신사</t>
    </r>
    <r>
      <rPr>
        <sz val="10"/>
        <color rgb="FF000000"/>
        <rFont val="Pretendard SemiBold"/>
        <family val="3"/>
        <charset val="129"/>
      </rPr>
      <t>, 니시키 시장</t>
    </r>
  </si>
  <si>
    <r>
      <t xml:space="preserve">니시키 시장: 시장 먹거리
기요미즈데라 주변·난젠지 근처: </t>
    </r>
    <r>
      <rPr>
        <b/>
        <sz val="10"/>
        <color rgb="FFC00000"/>
        <rFont val="Pretendard SemiBold"/>
        <family val="3"/>
        <charset val="129"/>
      </rPr>
      <t>유도후</t>
    </r>
    <r>
      <rPr>
        <sz val="10"/>
        <color rgb="FF000000"/>
        <rFont val="Pretendard SemiBold"/>
        <family val="3"/>
        <charset val="129"/>
      </rPr>
      <t xml:space="preserve"> (두부 요리)</t>
    </r>
  </si>
  <si>
    <r>
      <t xml:space="preserve">794년부터 </t>
    </r>
    <r>
      <rPr>
        <b/>
        <sz val="10"/>
        <color rgb="FFC00000"/>
        <rFont val="Pretendard SemiBold"/>
        <family val="3"/>
        <charset val="129"/>
      </rPr>
      <t>1,000년 넘게 일본의 수도</t>
    </r>
    <r>
      <rPr>
        <sz val="10"/>
        <color rgb="FF000000"/>
        <rFont val="Pretendard SemiBold"/>
        <family val="3"/>
        <charset val="129"/>
      </rPr>
      <t>였던 도시입니다.</t>
    </r>
  </si>
  <si>
    <t>일본 최대 관광 도시이자 대학이 많은 학생의 도시. 연말 니시키 시장은 새해 음식을 사려는 사람들로 가장 붐빕니다.</t>
  </si>
  <si>
    <t>연말연시 휴무 주의 (식당·가게 미리 확인).</t>
  </si>
  <si>
    <t>교토·고베</t>
  </si>
  <si>
    <t>섣달그믐, 온천 이동</t>
  </si>
  <si>
    <r>
      <t xml:space="preserve">아리마 온천 거리: 아리마 사이다, 갓 구운 </t>
    </r>
    <r>
      <rPr>
        <b/>
        <sz val="10"/>
        <color rgb="FFC00000"/>
        <rFont val="Pretendard SemiBold"/>
        <family val="3"/>
        <charset val="129"/>
      </rPr>
      <t xml:space="preserve">탄산센베이
</t>
    </r>
    <r>
      <rPr>
        <sz val="10"/>
        <color rgb="FF000000"/>
        <rFont val="Pretendard SemiBold"/>
        <family val="3"/>
        <charset val="129"/>
      </rPr>
      <t>숙소·식당 (섣달그믐): 도시코시소바</t>
    </r>
  </si>
  <si>
    <r>
      <t xml:space="preserve">아리마: 탄산센베이, </t>
    </r>
    <r>
      <rPr>
        <b/>
        <sz val="10"/>
        <color rgb="FFC00000"/>
        <rFont val="Pretendard SemiBold"/>
        <family val="3"/>
        <charset val="129"/>
      </rPr>
      <t>닌교후데</t>
    </r>
    <r>
      <rPr>
        <sz val="10"/>
        <color rgb="FF000000"/>
        <rFont val="Pretendard SemiBold"/>
        <family val="3"/>
        <charset val="129"/>
      </rPr>
      <t xml:space="preserve"> (붓을 세우면 인형이 튀어나오는 전통 붓)</t>
    </r>
  </si>
  <si>
    <r>
      <t xml:space="preserve">일본에서 </t>
    </r>
    <r>
      <rPr>
        <b/>
        <sz val="10"/>
        <color rgb="FFC00000"/>
        <rFont val="Pretendard SemiBold"/>
        <family val="3"/>
        <charset val="129"/>
      </rPr>
      <t>가장 오래된 온천</t>
    </r>
    <r>
      <rPr>
        <sz val="10"/>
        <color rgb="FF000000"/>
        <rFont val="Pretendard SemiBold"/>
        <family val="3"/>
        <charset val="129"/>
      </rPr>
      <t xml:space="preserve"> 가운데 하나로, 도요토미 히데요시가 여러 번 찾아와 온천을 정비했습니다.</t>
    </r>
  </si>
  <si>
    <t>고베시에 속한 간사이의 대표 온천 마을. 오사카·고베에서 1시간 안에 갈 수 있어 연말연시에 특히 붐빕니다. 섣달그믐 밤에는 긴노유 족욕탕 주변에서 작은 불꽃놀이나 행사가 열리기도 합니다.</t>
  </si>
  <si>
    <t>새해 첫날, 온천</t>
  </si>
  <si>
    <t>관광)새해 첫 참배·온천</t>
  </si>
  <si>
    <r>
      <t xml:space="preserve">아리마 온천 거리, </t>
    </r>
    <r>
      <rPr>
        <b/>
        <sz val="10"/>
        <color rgb="FFC00000"/>
        <rFont val="Pretendard SemiBold"/>
        <family val="3"/>
        <charset val="129"/>
      </rPr>
      <t>새해 첫 참배</t>
    </r>
    <r>
      <rPr>
        <sz val="10"/>
        <color rgb="FF000000"/>
        <rFont val="Pretendard SemiBold"/>
        <family val="3"/>
        <charset val="129"/>
      </rPr>
      <t xml:space="preserve"> (가까운 신사)
온천: 숙소 온천 (공공 온천 킨노유·긴노유는 1월 1일 휴관)</t>
    </r>
  </si>
  <si>
    <t>아리마 온천 거리: 아리마 사이다, 새해 첫 식사</t>
  </si>
  <si>
    <t>일본에서 가장 오래된 온천 가운데 하나로, 도요토미 히데요시가 여러 번 찾아와 온천을 정비했습니다.</t>
  </si>
  <si>
    <t>새해 첫날은 숙소·온천이 가장 붐비는 시기입니다. 느긋하게 온천과 참배로 하루를 보내기 좋습니다.</t>
  </si>
  <si>
    <t>새해 첫날. 숙소·교통 요금이 비싸고 붐빔.</t>
  </si>
  <si>
    <t>오사카 (난바)</t>
  </si>
  <si>
    <r>
      <t>신세카이</t>
    </r>
    <r>
      <rPr>
        <sz val="10"/>
        <color rgb="FF000000"/>
        <rFont val="Pretendard SemiBold"/>
        <family val="3"/>
        <charset val="129"/>
      </rPr>
      <t xml:space="preserve">, 쓰텐카쿠, 도톤보리, </t>
    </r>
    <r>
      <rPr>
        <b/>
        <sz val="10"/>
        <color rgb="FFC00000"/>
        <rFont val="Pretendard SemiBold"/>
        <family val="3"/>
        <charset val="129"/>
      </rPr>
      <t xml:space="preserve">오사카성
</t>
    </r>
    <r>
      <rPr>
        <sz val="10"/>
        <color rgb="FF000000"/>
        <rFont val="Pretendard SemiBold"/>
        <family val="3"/>
        <charset val="129"/>
      </rPr>
      <t xml:space="preserve">온천: </t>
    </r>
    <r>
      <rPr>
        <b/>
        <sz val="10"/>
        <color rgb="FFC00000"/>
        <rFont val="Pretendard SemiBold"/>
        <family val="3"/>
        <charset val="129"/>
      </rPr>
      <t>스파월드</t>
    </r>
    <r>
      <rPr>
        <sz val="10"/>
        <color rgb="FF000000"/>
        <rFont val="Pretendard SemiBold"/>
        <family val="3"/>
        <charset val="129"/>
      </rPr>
      <t xml:space="preserve"> (세계 여러 나라 테마의 대형 온천 시설)</t>
    </r>
  </si>
  <si>
    <r>
      <t xml:space="preserve">신세카이 (쓰텐카쿠 아래): </t>
    </r>
    <r>
      <rPr>
        <b/>
        <sz val="10"/>
        <color rgb="FFC00000"/>
        <rFont val="Pretendard SemiBold"/>
        <family val="3"/>
        <charset val="129"/>
      </rPr>
      <t>구시카쓰</t>
    </r>
    <r>
      <rPr>
        <sz val="10"/>
        <color rgb="FF000000"/>
        <rFont val="Pretendard SemiBold"/>
        <family val="3"/>
        <charset val="129"/>
      </rPr>
      <t xml:space="preserve"> (꼬치 튀김)
도톤보리: </t>
    </r>
    <r>
      <rPr>
        <b/>
        <sz val="10"/>
        <color rgb="FFC00000"/>
        <rFont val="Pretendard SemiBold"/>
        <family val="3"/>
        <charset val="129"/>
      </rPr>
      <t>다코야키</t>
    </r>
    <r>
      <rPr>
        <sz val="10"/>
        <color rgb="FF000000"/>
        <rFont val="Pretendard SemiBold"/>
        <family val="3"/>
        <charset val="129"/>
      </rPr>
      <t>, 오코노미야키</t>
    </r>
  </si>
  <si>
    <t>오사카성은 도요토미 히데요시가 1583년 쌓은 성으로, 이에야스와의 오사카 전투 끝에 불탔다가 이후 다시 지어졌습니다.</t>
  </si>
  <si>
    <r>
      <t xml:space="preserve">오사카는 일본 제2의 도시이자 '먹다 망하는 도시'라 불리는 </t>
    </r>
    <r>
      <rPr>
        <b/>
        <sz val="10"/>
        <color rgb="FFC00000"/>
        <rFont val="Pretendard SemiBold"/>
        <family val="3"/>
        <charset val="129"/>
      </rPr>
      <t>음식의 도시</t>
    </r>
    <r>
      <rPr>
        <sz val="10"/>
        <color rgb="FF000000"/>
        <rFont val="Pretendard SemiBold"/>
        <family val="3"/>
        <charset val="129"/>
      </rPr>
      <t>. 2025년 오사카·간사이 엑스포가 열렸습니다.</t>
    </r>
  </si>
  <si>
    <t>교통 이유: 공항으로 이동.</t>
  </si>
  <si>
    <t>걷기 일수 (일)</t>
  </si>
  <si>
    <t>걷기 총 거리 (km)</t>
  </si>
  <si>
    <t>걷기 하루 평균 거리 (km)</t>
  </si>
  <si>
    <t>걷기 가장 긴 날 (km)</t>
  </si>
  <si>
    <t>교통수단 이용 일수 (일)</t>
  </si>
  <si>
    <t>교통 총 거리 (km)</t>
  </si>
  <si>
    <t>교통 총 시간 (분)</t>
  </si>
  <si>
    <t>교통 하루 평균 거리 (km)</t>
  </si>
  <si>
    <t>교통 하루 평균 시간 (분)</t>
  </si>
  <si>
    <t>교통 총 탑승 횟수 (회)</t>
  </si>
  <si>
    <t>교통 1회 평균 시간 (분)</t>
  </si>
  <si>
    <t>교통비 합계 (엔)</t>
  </si>
  <si>
    <t>교통비 합계 (원, 환율 적용)</t>
  </si>
  <si>
    <t>숙박비 예상 (고른 숙소, 없으면 후보 최저가 × 박수, 원)</t>
  </si>
  <si>
    <t>숙박 박수 합계 (검색된 거점만, 박)</t>
  </si>
  <si>
    <t>• 구글 지도: '걷는 거리' 숫자(이동 상세 시트는 '걷기 구간' 글씨)를 누르면 그날 걷는 길이 구글 지도 도보 경로로 열립니다. 옛 도카이도를 따라가도록 역참·명소를 경유지로 넣었고, 휴대폰에서도 열립니다. 실제 옛길과 조금 다른 길을 고를 수 있으니 현지 안내판도 함께 보세요.</t>
  </si>
  <si>
    <t>• 휴식 원칙: 평지는 70~90km(최대 100km) 걸으면 하루 쉬고, 고개·산길이 낀 구간은 더 일찍 쉽니다. 이 일정의 휴식: 하코네(34km 뒤, 산길), 오키쓰(약 66km 뒤, 하코네 내리막·삿타 고개 다음), 하마나호(약 93km 뒤), 구와나(약 76km 뒤, 앞으로 이동하며 쉬는 날), 교토(약 84km 뒤 완주, 예비일 포함 3박). 쉬는 날 다섯 번 중 네 번은 온천.</t>
  </si>
  <si>
    <t>• 일정은 몸 상태·날씨에 따라 그때그때 바꾸는 것을 전제로 합니다. 메모의 '힘들 때·비 올 때' 줄에 그날 중간에 그만둘 수 있는 역·버스를 적었습니다. 하루를 통째로 미뤄야 하면 26일차 교토 예비일로 메우거나, 쉬는 날(5일차 하코네·9일차 오키쓰·15일차 하마나호·20일차 구와나)을 씁니다. 교토 3박이라 하루가 밀려도 아리마(12/31)·오사카(1/2) 날짜는 그대로입니다.</t>
  </si>
  <si>
    <t>• 행 색 구분: 초록 = 걷는 날, 파랑 = 교통 이동만 하는 날, 노랑 = 휴식·관광. 빨간 굵은 거리·시간·시각 = 21km 이상이거나 산길인 날.</t>
  </si>
  <si>
    <t>• 숙소 후보 3곳과 아고다 링크는 '이동 상세' 시트 오른쪽에 있습니다.</t>
  </si>
  <si>
    <t>• 걷는 시간: 시속 4km 기준 순수 걷기 시간('이동 상세' 시트의 걷기 속도를 바꾸면 다시 계산). 출발·도착(예상)은 여기에 식사·휴식·구경 여유(보통 날 1시간, 고개·산길인 날 1.5시간)를 더한 값입니다. '해 지기 전 여유'가 1시간 30분보다 짧으면 분홍색 경고.</t>
  </si>
  <si>
    <t>• 지나는 역참: 초록 굵은 글씨 = 걸어서 지나가거나 머무는 곳(걸어서/머물며 44곳), 회색 기울임 = 기차로 건너뜀(10곳).</t>
  </si>
  <si>
    <t>• 빨간 굵은 글씨 = 꼭 알아야 할 것 (명소는 꼭 볼 곳, 먹거리는 꼭 먹을 것, 역사·지금은 핵심 내용).</t>
  </si>
  <si>
    <t>• 이동 순서: 걷기) 초록 굵은 글씨, 교통) 파랑 보통 글씨, 관광) 주황 기울임. 먹거리·특산품은 '장소: 내용' 형식이며, 장소가 여럿이면 걷는 순서대로 줄을 바꿔 적었습니다.</t>
  </si>
  <si>
    <t>• v2.6: 마리코 2박을 빼고 오키쓰 온천 2박(12/11 요시와라→오키쓰 21.5km, 12/12 쉬는 날)·시즈오카 1박(12/13)으로 바꿈. 마리코는 12/14 점심(조지야 도로로지루)으로 지나감. 하마마쓰 시내 쉬는 날을 하마나호 호숫가 2박(와시즈, 12/17 걷기 + 12/18 쉬는 날)으로 옮김. 남은 하루는 교토 예비일(12/29)로 두어 완주는 12/28, 교토 3박. 직접 고른 숙소를 표시하고, 지도 경로·거리를 숙소 기준으로 다시 잼(구글 지도, 2026-10-26).</t>
  </si>
  <si>
    <t>• v2.5: 신규 거점 9곳(요시와라·유이·시미즈·마리코·후지에다·시마다·아라이·구와나·세키)과 하코네 온천 숙소를 해당 날짜로 아고다에서 검색해 채움. 직접 고른 숙소(시나가와·오다와라·하코네·미시마) 표시 유지.</t>
  </si>
  <si>
    <t>• v2.4: 되돌아가는 기차 이동을 줄임. 하마마쓰 2박 → 하마마쓰 1박 + 아라이(하마나호 호숫가) 1박, 나고야 2박 → 나고야 1박 + 구와나 1박(쉬는 날에 앞으로 이동), 가메야마 숙박 → 세키주쿠 숙박. 도요하시는 고유·아카사카에 숙소가 없고 도요카와는 옛길에서 벗어나(7.8km/28.6km로 불균형) 도요하시 2박을 유지.</t>
  </si>
  <si>
    <t>• v2.3: 시즈오카 휴식일과 오카자키 휴식일을 없애고, 시미즈→마리코(18.4km)·마리코 온천 휴식·마리코→후지에다(17.1km)로 23km 구간을 둘로 나눔. 나고야 2박(12/24 휴식, 구와나·나가시마 온천·나바나노사토), 12/25는 나고야에서 기차로 가사도로 가서 세키까지 걷기. 출발 시각은 거리에 따라 다르게(짧은 날은 늦잠).</t>
  </si>
  <si>
    <t>• v2.2: 5일차에 하코네 온천 휴식일(아시노호수 2박, 날씨 예비일 겸)을 넣고 이후 일정을 하루씩 미룸. 대신 교토 아라시야마 관광일을 빼 교토는 2박(완주 다음 날 하루 관광).</t>
  </si>
  <si>
    <t>• v2.1 (당시 일차 기준): 26일차 걷기 16.5km 중복·29일차 교통 기록 중복 오류 수정. 8일차를 에지리(시미즈)까지 늘려 에지리 역참과 세이켄지(조선통신사 유적)를 걸어서 지나도록 변경. 교토→아리마 직행 고속버스, 아리마 공공 온천 1/1 휴관, 오사카성 1/2 개관 반영. 일몰 시각과 '해 지기 전 여유' 경고 추가.</t>
  </si>
  <si>
    <t>• v2.0: 누마즈·시즈오카권, 스즈카권의 왕복·되돌아가기를 없애고 계속 앞으로 나가도록 다시 짰습니다. 완주 뒤 동선을 교토→아리마→오사카로 줄이고, 남은 하루는 교토 아라시야마에 넣었습니다(v2.2에서 다시 뺌).</t>
  </si>
  <si>
    <t>• 가게 영업일·영업시간은 확인하지 않았으니 방문 전에 확인하세요. 걷는 거리·시각과 합계·평균은 '이동 상세' 시트 값으로 자동 계산됩니다.</t>
  </si>
  <si>
    <t>이동 상세 (걷기·교통 구간별 거리와 시간)</t>
  </si>
  <si>
    <t>걷기 속도 (km/h)</t>
  </si>
  <si>
    <t>← 순수 걷기 기준 가정값(직접 수정 가능). 바꾸면 걷기 시간·예상 도착 시각이 다시 계산됩니다. 쉬는 시간 포함 시 하루 5~6시간, 산길은 +1시간.</t>
  </si>
  <si>
    <t>환율 (원/엔)</t>
  </si>
  <si>
    <t>← 원화 환산용 가정값(직접 수정 가능). 교통비는 2026년 기준 대략값이며 IC카드 요금과 조금 다를 수 있습니다.</t>
  </si>
  <si>
    <t>15km 미만·고개 없는 날은 늦잠(9:30~10:30), 15~20km는 8:30, 20km 이상이거나 고개가 있는 날은 7:30~8:00. 노란 '걷기 출발' 칸을 그날 컨디션에 맞게 고치면 도착·해 지기 전 여유가 다시 계산됩니다.</t>
  </si>
  <si>
    <t>걷기 구간 (누르면 구글 지도 도보 경로)</t>
  </si>
  <si>
    <t>걷기 거리 (km)</t>
  </si>
  <si>
    <t>교통 구간 (출발 → 도착, 노선)</t>
  </si>
  <si>
    <t>교통 거리 (km)</t>
  </si>
  <si>
    <t>교통 시간 (분)</t>
  </si>
  <si>
    <t>교통비 (엔, 대략)</t>
  </si>
  <si>
    <t>걷기 출발 (예상)</t>
  </si>
  <si>
    <t>도착 (예상)</t>
  </si>
  <si>
    <t>숙소 후보 1</t>
  </si>
  <si>
    <t>숙소 후보 2</t>
  </si>
  <si>
    <t>하네다공항역 → 시나가와역 (게이큐)</t>
  </si>
  <si>
    <t>도쿄 시내 지하철 (합계 제외)</t>
  </si>
  <si>
    <t>도쿄 지하철 24시간권 기준</t>
  </si>
  <si>
    <t>(위와 같음)</t>
  </si>
  <si>
    <t>시나가와역 → 오이소역 (JR 도카이도선)</t>
  </si>
  <si>
    <t>산길: +1시간
결빙·폭설 시 플랜 B: 하코네 토잔 버스</t>
  </si>
  <si>
    <t>오키쓰 → 미호노마쓰바라 (버스, 선택·합계 제외)</t>
  </si>
  <si>
    <t>토요코인 후지에다에키 기타구치
8.3점 · 후기 555건 · 58,964원/박
후지에다역 약 100m
아침 무료
※ 하루 앞당겨지기 전 날짜 요금, 재확인 필요</t>
  </si>
  <si>
    <t>하타고 인 시즈오카 요시다 IC (HATAGO INN Shizuoka Yoshida IC)
8.8점 · 후기 5,438건 · 요금: 아고다에서 확인
시마다역에서 약 5km 남동쪽 (요시다 IC)
직접 고른 숙소. 2026-10-26 확인 때 이 날짜 아고다 예약 불가, 옛길에서 떨어져 다음 날이 약 27km로 늘어 대신 루트인으로 둠</t>
  </si>
  <si>
    <t>토요코인 가케가와에키 신칸센미나미구치
8.2점 · 후기 306건 · 61,284원/박
가케가와역 남쪽 출구
비즈니스 호텔, 아침 무료
※ 하루 앞당겨지기 전 날짜 요금, 재확인 필요</t>
  </si>
  <si>
    <t>가케가와역 → 하마마쓰역 (JR 도카이도선)</t>
  </si>
  <si>
    <t>가케가와→하마마쓰 (JR)
가케가와 체크아웃</t>
  </si>
  <si>
    <t>호텔 디 오션 (벤텐 리조트)
7.7점 · 후기 925건 · 74,660원/박
벤텐지마, 약 0.8km
호수 전망·온천 대욕장, 뷔페</t>
  </si>
  <si>
    <t>와시즈역 ↔ 하마마쓰역 (JR) + 간잔지 온천 버스 (선택, 합계 제외)</t>
  </si>
  <si>
    <t>호텔 어소시아 도요하시
8.9점 · 후기 3,866건 · 99,036원/박
도요하시역 101m
역 바로 옆
※ 하루 앞당겨지기 전 날짜 요금, 재확인 필요</t>
  </si>
  <si>
    <t>도미 인 익스프레스 도요하시 핫 스프링
8.7점 · 후기 3,016건 · 74,041원/박
신도요하시역 812m
천연 온천 대욕장 (23km 걸은 날 추천)
※ 하루 앞당겨지기 전 날짜 요금, 재확인 필요</t>
  </si>
  <si>
    <t>메이덴아카사카역 → 도요하시역 (메이테쓰)</t>
  </si>
  <si>
    <t>도요하시역 → 메이덴아카사카역 (메이테쓰)</t>
  </si>
  <si>
    <t>히가시오카자키역 → 지류역 / 진구마에역 → 나고야역 (메이테쓰)</t>
  </si>
  <si>
    <t>산코 인 나고야 신칸센구치
8.5점 · 후기 6,751건 · 71,665원/박
나고야역 약 200m
비즈니스 호텔
※ 하루 앞당겨지기 전 날짜 요금, 재확인 필요</t>
  </si>
  <si>
    <t>나고야역 → 구와나역 (JR·긴테쓰)</t>
  </si>
  <si>
    <t>나고야→구와나 (JR·긴테쓰, 대략), 나가시마 온천 버스는 별도
나고야 체크아웃</t>
  </si>
  <si>
    <t>구와나 파크 호텔
7.6점 · 후기 162건 · 51,987원/박
구와나역 약 300m
호텔
※ 하루 앞당겨지기 전 날짜 요금, 재확인 필요</t>
  </si>
  <si>
    <t>구와나역 → 가사도역 (JR 간사이본선)</t>
  </si>
  <si>
    <t>구와나→가사도 (대략)
구와나 체크아웃</t>
  </si>
  <si>
    <t>칸데오 호텔 가메야마
8.0점 · 후기 954건 · 39,230원/박
세키주쿠에서 약 1.8km (세키 IC 쪽, 걸어서 이동)
★ 추천: 대욕장. 세키주쿠 안 게스트하우스 '이시가키야'는 아고다에 없어 직접 연락 필요
※ 하루 앞당겨지기 전 날짜 요금, 재확인 필요</t>
  </si>
  <si>
    <t>호텔 루트인 가메야마 인터
8.2점 · 후기 367건 · 49,841원/박
세키주쿠에서 약 2.5km
대욕장
※ 하루 앞당겨지기 전 날짜 요금, 재확인 필요</t>
  </si>
  <si>
    <t>쓰치야마 → 기부카와역 (버스) → 미나쿠치 (오미철도)</t>
  </si>
  <si>
    <t>버스 + 오미철도
산길: +1시간
가메야마 체크아웃</t>
  </si>
  <si>
    <t>호텔 루트인 고카 미나쿠치
8.2점 · 후기 1,230건 · 66,958원/박
미나쿠치이시바시역 1.5km (국도 1호선변)
비즈니스 호텔, 대욕장
※ 하루 앞당겨지기 전 날짜 요금, 재확인 필요</t>
  </si>
  <si>
    <t>구사쓰 에스토피아 호텔
8.3점 · 후기 966건 · 75,250원/박
구사쓰역 322m
호텔
※ 하루 앞당겨지기 전 날짜 요금, 재확인 필요</t>
  </si>
  <si>
    <t>APA 호텔 비와코 세타에키마에
8.0점 · 후기 1,965건 · 72,470원/박
JR 세타역 119m
비즈니스 호텔
※ 하루 앞당겨지기 전 날짜 요금, 재확인 필요</t>
  </si>
  <si>
    <t>도카이도 완주 · 이시야마 체크아웃</t>
  </si>
  <si>
    <t>호텔 그란 Ms 교토
8.6점 · 후기 14,020건 · 86,676원/박
교토시야쿠쇼마에역 126m, 산조오하시 약 400m
완주 지점 바로 근처
※ 하루 앞당겨지기 전 날짜 요금, 재확인 필요</t>
  </si>
  <si>
    <t>교토 시내 버스·전철 (합계 제외)</t>
  </si>
  <si>
    <t>교토 시내 버스·지하철 (합계 제외)</t>
  </si>
  <si>
    <t>교토 지하철·버스 1일권 기준</t>
  </si>
  <si>
    <t>교토역 → 아리마 온천 (직행 고속버스, 하루 2편·예약 권장)</t>
  </si>
  <si>
    <t>고야도 우라쿠
8.9점 · 후기 1,069건 · 241,925원/박
온천 거리 중심
작은 숙소</t>
  </si>
  <si>
    <t>고속버스 1,400엔 + 지하철
아리마 체크아웃</t>
  </si>
  <si>
    <t>토호 호텔 난바 모토마치
8.6점 · 후기 6,331건 · 59,286원/박
JR 난바역 417m
다음 날 공항 가기 편함</t>
  </si>
  <si>
    <t>난바역 → 간사이공항역 (난카이 라피트)</t>
  </si>
  <si>
    <t>난카이 라피트 (지정석 포함)</t>
  </si>
  <si>
    <t>• 걷기 거리: '경로 좌표' 시트의 출발·경유지·도착을 구글 지도 도보 경로로 잰 실제 길 거리(2026년 10월 23일). 숙소가 정해져 도착 좌표가 바뀌면 거리도 조금 달라지니, 지도 링크를 열어 확인하고 이 칸을 고치면 시간·합계가 다시 계산됩니다.</t>
  </si>
  <si>
    <t>• 교통 거리·시간: 노선 거리와 보통 열차·버스 기준 대략값. 갈아타는 시간과 기다리는 시간은 제외. 2일차 도쿄 시내 이동은 거리·시간 합계에서 제외.</t>
  </si>
  <si>
    <t>• 교통비: 2026년 기준 보통 운임 대략값(엔).</t>
  </si>
  <si>
    <t>• 예상 출발·도착 시각: 노란 '걷기 출발' 칸(출발 시각 원칙에 따라 넣은 값)에 순수 걷기 시간을 더하고, 고개·산길이 있는 날(4·6·8·11·13·22일차)은 1.5시간, 그 외 걷는 날은 1시간의 식사·휴식·구경 여유를 더한 값입니다. 3·14·18·19·21일차처럼 아침에 기차를 먼저 타는 날은 숙소에서 그만큼 일찍 나서야 합니다.</t>
  </si>
  <si>
    <t>• 일몰: 각 날짜·걷기 도착지 좌표로 계산한 해 지는 시각(평지 기준, 산속은 더 일찍 어두워짐). '해 지기 전 여유'가 1시간 30분보다 짧으면 분홍색으로 경고합니다. 걷기 속도·출발 시각을 바꾸면 여유도 다시 계산됩니다.</t>
  </si>
  <si>
    <t>• 숙소: 아고다 검색(2026년 10월 23일·26일), 각 숙박일 날짜·1인 1실 기준 1박 요금(세금 포함, 원). v2.6에서 11일차 이후 숙박일이 하루씩 앞당겨져 '※ 하루 앞당겨지기 전 날짜 요금' 표시가 붙은 요금은 실제 숙박일과 하루 다른 날짜의 값입니다. 요금과 남은 객실은 계속 바뀌니 예약 전에 '아고다에서 보기'로 다시 확인하세요.</t>
  </si>
  <si>
    <t>• 노란 칸·초록 굵은 글씨 = 직접 고른 숙소(후보 최저가 칸에는 고른 숙소 요금, 요금이 없으면 빈칸). ★ 추천 = 제 추천. 1박 15만 원 이하 기준이고, 쉬는 날·온천 숙소는 15만 원이 넘어도 후보에 넣었습니다. 아직 정하지 않은 곳: 10일차 시즈오카(★ 가든 스퀘어 추천), 16일차 도요하시(두 곳 표시). 12일차는 직접 고른 하타고 인이 이 날짜 아고다 예약 불가이고 옛길에서 멀어 루트인으로 바꿔 두었습니다. 숙박비 합계에서 요금 없는 숙소(하마나호 난반·교토 소테츠 프레사)는 빠져 있습니다.</t>
  </si>
  <si>
    <t>• 빨간 굵은 숫자/시각 = 21km 이상이거나 고개·산길이 있는 날.</t>
  </si>
  <si>
    <t>빨간 굵은 글씨 = 꼭 알아야 할 부분</t>
  </si>
  <si>
    <t>비자·입국 등록</t>
  </si>
  <si>
    <r>
      <t>한국 여권은 90일까지 무비자. 출국 전 '</t>
    </r>
    <r>
      <rPr>
        <b/>
        <sz val="10"/>
        <color rgb="FFC00000"/>
        <rFont val="Pretendard SemiBold"/>
        <family val="3"/>
        <charset val="129"/>
      </rPr>
      <t>Visit Japan Web</t>
    </r>
    <r>
      <rPr>
        <sz val="10"/>
        <color rgb="FF000000"/>
        <rFont val="Pretendard SemiBold"/>
        <family val="3"/>
        <charset val="129"/>
      </rPr>
      <t>'에 입국·세관 정보를 등록해 두면 공항에서 QR 코드로 빠르게 통과합니다.</t>
    </r>
  </si>
  <si>
    <r>
      <t xml:space="preserve">2026년 7월부터 일본 출국세(국제관광여객세)가 1,000엔에서 </t>
    </r>
    <r>
      <rPr>
        <b/>
        <sz val="10"/>
        <color rgb="FFC00000"/>
        <rFont val="Pretendard SemiBold"/>
        <family val="3"/>
        <charset val="129"/>
      </rPr>
      <t>3,000엔</t>
    </r>
    <r>
      <rPr>
        <sz val="10"/>
        <color rgb="FF000000"/>
        <rFont val="Pretendard SemiBold"/>
        <family val="3"/>
        <charset val="129"/>
      </rPr>
      <t>으로 올랐습니다. 보통 항공권 값에 포함되어 따로 낼 일은 없습니다.</t>
    </r>
  </si>
  <si>
    <r>
      <t>한국 교통카드는 일본에서 쓸 수 없습니다</t>
    </r>
    <r>
      <rPr>
        <sz val="10"/>
        <color rgb="FF000000"/>
        <rFont val="Pretendard SemiBold"/>
        <family val="3"/>
        <charset val="129"/>
      </rPr>
      <t xml:space="preserve">. 아이폰이면 </t>
    </r>
    <r>
      <rPr>
        <b/>
        <sz val="10"/>
        <color rgb="FFC00000"/>
        <rFont val="Pretendard SemiBold"/>
        <family val="3"/>
        <charset val="129"/>
      </rPr>
      <t>지갑 앱에 스이카(Suica)를 추가</t>
    </r>
    <r>
      <rPr>
        <sz val="10"/>
        <color rgb="FF000000"/>
        <rFont val="Pretendard SemiBold"/>
        <family val="3"/>
        <charset val="129"/>
      </rPr>
      <t>해 바로 충전해 쓸 수 있고, 실물 카드는 역 발매기에서 스이카·파스모를 사거나 관광객용 'Welcome Suica'를 삽니다. 한 장으로 도쿄·나고야·오사카의 JR과 지하철을 모두 탈 수 있습니다.</t>
    </r>
  </si>
  <si>
    <r>
      <t xml:space="preserve">JR 동일본과 JR 도카이의 </t>
    </r>
    <r>
      <rPr>
        <b/>
        <sz val="10"/>
        <color rgb="FFC00000"/>
        <rFont val="Pretendard SemiBold"/>
        <family val="3"/>
        <charset val="129"/>
      </rPr>
      <t>경계(아타미)를 넘는 한 번의 승차는 IC카드로 탈 수 없습니다</t>
    </r>
    <r>
      <rPr>
        <sz val="10"/>
        <color rgb="FF000000"/>
        <rFont val="Pretendard SemiBold"/>
        <family val="3"/>
        <charset val="129"/>
      </rPr>
      <t>. 이번 일정에는 해당 구간이 없습니다.</t>
    </r>
  </si>
  <si>
    <r>
      <t xml:space="preserve">시골 버스와 작은 사철은 IC카드가 안 되기도 합니다. </t>
    </r>
    <r>
      <rPr>
        <b/>
        <sz val="10"/>
        <color rgb="FFC00000"/>
        <rFont val="Pretendard SemiBold"/>
        <family val="3"/>
        <charset val="129"/>
      </rPr>
      <t>동전과 1,000엔 지폐를 늘 챙기세요</t>
    </r>
    <r>
      <rPr>
        <sz val="10"/>
        <color rgb="FF000000"/>
        <rFont val="Pretendard SemiBold"/>
        <family val="3"/>
        <charset val="129"/>
      </rPr>
      <t xml:space="preserve"> (22일차 고카시 버스 등). 버스는 뒷문으로 타서 정리권을 뽑고, 내릴 때 앞쪽 요금표에서 번호에 맞는 요금을 냅니다.</t>
    </r>
  </si>
  <si>
    <t>짐 보내기 (택배)</t>
  </si>
  <si>
    <r>
      <t xml:space="preserve">편의점이나 숙소 프런트에서 </t>
    </r>
    <r>
      <rPr>
        <b/>
        <sz val="10"/>
        <color rgb="FFC00000"/>
        <rFont val="Pretendard SemiBold"/>
        <family val="3"/>
        <charset val="129"/>
      </rPr>
      <t>택배(타큐빈)로 짐을 다음 숙소에</t>
    </r>
    <r>
      <rPr>
        <sz val="10"/>
        <color rgb="FF000000"/>
        <rFont val="Pretendard SemiBold"/>
        <family val="3"/>
        <charset val="129"/>
      </rPr>
      <t xml:space="preserve"> 보낼 수 있습니다. 보통 다음 날 도착. 하코네처럼 산길을 넘는 날 특히 유용합니다.</t>
    </r>
  </si>
  <si>
    <r>
      <t xml:space="preserve">한국 신용카드(비자·마스터)는 도시 가게 대부분에서 됩니다. 시골 식당·찻집·버스는 </t>
    </r>
    <r>
      <rPr>
        <b/>
        <sz val="10"/>
        <color rgb="FFC00000"/>
        <rFont val="Pretendard SemiBold"/>
        <family val="3"/>
        <charset val="129"/>
      </rPr>
      <t>현금만 받는 곳이 많아</t>
    </r>
    <r>
      <rPr>
        <sz val="10"/>
        <color rgb="FF000000"/>
        <rFont val="Pretendard SemiBold"/>
        <family val="3"/>
        <charset val="129"/>
      </rPr>
      <t xml:space="preserve"> 1~2만 엔은 늘 지니세요. 현금은 세븐일레븐 ATM에서 해외 카드로 뽑을 수 있습니다.</t>
    </r>
  </si>
  <si>
    <r>
      <t>팁 문화가 없습니다</t>
    </r>
    <r>
      <rPr>
        <sz val="10"/>
        <color rgb="FF000000"/>
        <rFont val="Pretendard SemiBold"/>
        <family val="3"/>
        <charset val="129"/>
      </rPr>
      <t>. 계산할 때 돈은 카운터의 작은 접시(트레이)에 놓습니다.</t>
    </r>
  </si>
  <si>
    <t>면세 (2026년 11월부터 바뀜)</t>
  </si>
  <si>
    <r>
      <t xml:space="preserve">2026년 11월부터 면세 방식이 바뀌었습니다. 살 때는 세금을 포함한 가격을 내고, </t>
    </r>
    <r>
      <rPr>
        <b/>
        <sz val="10"/>
        <color rgb="FFC00000"/>
        <rFont val="Pretendard SemiBold"/>
        <family val="3"/>
        <charset val="129"/>
      </rPr>
      <t>출국할 때 공항 세관에서 물건을 확인받은 뒤 세금을 돌려받습니다</t>
    </r>
    <r>
      <rPr>
        <sz val="10"/>
        <color rgb="FF000000"/>
        <rFont val="Pretendard SemiBold"/>
        <family val="3"/>
        <charset val="129"/>
      </rPr>
      <t>. 여권이 필요하고, 면세로 산 물건은 출국 때 바로 보여줄 수 있게 챙기세요.</t>
    </r>
  </si>
  <si>
    <r>
      <t xml:space="preserve">도쿄·교토·오사카 등은 1박마다 </t>
    </r>
    <r>
      <rPr>
        <b/>
        <sz val="10"/>
        <color rgb="FFC00000"/>
        <rFont val="Pretendard SemiBold"/>
        <family val="3"/>
        <charset val="129"/>
      </rPr>
      <t>숙박세</t>
    </r>
    <r>
      <rPr>
        <sz val="10"/>
        <color rgb="FF000000"/>
        <rFont val="Pretendard SemiBold"/>
        <family val="3"/>
        <charset val="129"/>
      </rPr>
      <t>가 따로 붙고, 숙소에서 현장 결제하기도 합니다. 교토시는 1인 1박 요금에 따라 200~10,000엔 (2만 엔 미만이면 200~400엔).</t>
    </r>
  </si>
  <si>
    <t>12월 29일 ~ 1월 3일 휴무</t>
  </si>
  <si>
    <r>
      <t>많은 식당·가게·관공서·일부 관광지가 문을 닫습니다</t>
    </r>
    <r>
      <rPr>
        <sz val="10"/>
        <color rgb="FF000000"/>
        <rFont val="Pretendard SemiBold"/>
        <family val="3"/>
        <charset val="129"/>
      </rPr>
      <t>. 이 기간이 26~31일차와 겹치니 식당은 미리 확인하고, 편의점·체인점을 대안으로 생각해 두세요. 열차는 정상 운행하고 신사는 새해 참배객으로 매우 붐빕니다.</t>
    </r>
  </si>
  <si>
    <t>숙소·요금</t>
  </si>
  <si>
    <r>
      <t xml:space="preserve">12월 31일과 1월 1일은 숙소 요금이 평소의 1.5~3배입니다. 오사카·아리마 숙소는 </t>
    </r>
    <r>
      <rPr>
        <b/>
        <sz val="10"/>
        <color rgb="FFC00000"/>
        <rFont val="Pretendard SemiBold"/>
        <family val="3"/>
        <charset val="129"/>
      </rPr>
      <t>가장 먼저 예약하세요</t>
    </r>
    <r>
      <rPr>
        <sz val="10"/>
        <color rgb="FF000000"/>
        <rFont val="Pretendard SemiBold"/>
        <family val="3"/>
        <charset val="129"/>
      </rPr>
      <t>.</t>
    </r>
  </si>
  <si>
    <r>
      <t xml:space="preserve">아리마 공공 온천 킨노유·긴노유는 </t>
    </r>
    <r>
      <rPr>
        <b/>
        <sz val="10"/>
        <color rgb="FFC00000"/>
        <rFont val="Pretendard SemiBold"/>
        <family val="3"/>
        <charset val="129"/>
      </rPr>
      <t>1월 1일 휴관</t>
    </r>
    <r>
      <rPr>
        <sz val="10"/>
        <color rgb="FF000000"/>
        <rFont val="Pretendard SemiBold"/>
        <family val="3"/>
        <charset val="129"/>
      </rPr>
      <t xml:space="preserve"> → 12월 31일에 다녀오세요. 오사카성 천수각은 12월 28일~1월 1일 휴관이고 1월 2일(30일차)부터 엽니다. 교토~아리마 직행 고속버스는 </t>
    </r>
    <r>
      <rPr>
        <b/>
        <sz val="10"/>
        <color rgb="FFC00000"/>
        <rFont val="Pretendard SemiBold"/>
        <family val="3"/>
        <charset val="129"/>
      </rPr>
      <t>하루 2편뿐이라 미리 예약하세요</t>
    </r>
    <r>
      <rPr>
        <sz val="10"/>
        <color rgb="FF000000"/>
        <rFont val="Pretendard SemiBold"/>
        <family val="3"/>
        <charset val="129"/>
      </rPr>
      <t>.</t>
    </r>
  </si>
  <si>
    <t>날씨·걷기</t>
  </si>
  <si>
    <r>
      <t xml:space="preserve">몸이 힘들거나 비·부상이 있으면 그날 걷기를 줄이고 </t>
    </r>
    <r>
      <rPr>
        <b/>
        <sz val="10"/>
        <color rgb="FFC00000"/>
        <rFont val="Pretendard SemiBold"/>
        <family val="3"/>
        <charset val="129"/>
      </rPr>
      <t>가까운 역에서 기차·버스로</t>
    </r>
    <r>
      <rPr>
        <sz val="10"/>
        <color rgb="FF000000"/>
        <rFont val="Pretendard SemiBold"/>
        <family val="3"/>
        <charset val="129"/>
      </rPr>
      <t xml:space="preserve"> 숙소까지 가세요(전체 일정 메모의 '힘들 때·비 올 때' 줄 참고). 하루를 통째로 미뤄야 하면 쉬는 날(5일차 하코네·9일차 오키쓰·15일차 하마나호·20일차 구와나)을 쓰거나, 26일차 교토 예비일로 하루를 메웁니다. 숙소는 1주 전쯤 예약하되, 요금이 크게 오르는 </t>
    </r>
    <r>
      <rPr>
        <b/>
        <sz val="10"/>
        <color rgb="FFC00000"/>
        <rFont val="Pretendard SemiBold"/>
        <family val="3"/>
        <charset val="129"/>
      </rPr>
      <t>12월 31일·1월 1일(아리마) 숙소만은 미리</t>
    </r>
    <r>
      <rPr>
        <sz val="10"/>
        <color rgb="FF000000"/>
        <rFont val="Pretendard SemiBold"/>
        <family val="3"/>
        <charset val="129"/>
      </rPr>
      <t xml:space="preserve"> 잡아 두세요.</t>
    </r>
  </si>
  <si>
    <t>12월 날씨</t>
  </si>
  <si>
    <r>
      <t xml:space="preserve">태평양 쪽은 맑고 건조합니다. 낮 10~13도, 아침 0~5도. </t>
    </r>
    <r>
      <rPr>
        <b/>
        <sz val="10"/>
        <color rgb="FFC00000"/>
        <rFont val="Pretendard SemiBold"/>
        <family val="3"/>
        <charset val="129"/>
      </rPr>
      <t>하코네 고개와 스즈카 고개는 더 춥고</t>
    </r>
    <r>
      <rPr>
        <sz val="10"/>
        <color rgb="FF000000"/>
        <rFont val="Pretendard SemiBold"/>
        <family val="3"/>
        <charset val="129"/>
      </rPr>
      <t xml:space="preserve"> 바람이 셉니다.</t>
    </r>
  </si>
  <si>
    <r>
      <t xml:space="preserve">12월에는 </t>
    </r>
    <r>
      <rPr>
        <b/>
        <sz val="10"/>
        <color rgb="FFC00000"/>
        <rFont val="Pretendard SemiBold"/>
        <family val="3"/>
        <charset val="129"/>
      </rPr>
      <t>해가 오후 4시 반 무렵에 집니다</t>
    </r>
    <r>
      <rPr>
        <sz val="10"/>
        <color rgb="FF000000"/>
        <rFont val="Pretendard SemiBold"/>
        <family val="3"/>
        <charset val="129"/>
      </rPr>
      <t xml:space="preserve">. 걷는 날은 아침 8시쯤 출발해 오후 4시 전 도착을 목표로 하세요. </t>
    </r>
    <r>
      <rPr>
        <b/>
        <sz val="10"/>
        <color rgb="FFC00000"/>
        <rFont val="Pretendard SemiBold"/>
        <family val="3"/>
        <charset val="129"/>
      </rPr>
      <t>산길은 해 지기 전에 반드시 내려오세요</t>
    </r>
    <r>
      <rPr>
        <sz val="10"/>
        <color rgb="FF000000"/>
        <rFont val="Pretendard SemiBold"/>
        <family val="3"/>
        <charset val="129"/>
      </rPr>
      <t>.</t>
    </r>
  </si>
  <si>
    <t>하코네 고개 결빙·폭설 위험 (4·6일차)</t>
  </si>
  <si>
    <r>
      <t xml:space="preserve">하코네 옛 돌길·하코네 고개는 12월에 비가 눈으로 바뀌거나 그늘진 돌길에 얼음이 낄 수 있습니다. 출발 전날 밤 날씨와 적설·결빙 예보를 꼭 확인하세요. 길이 미끄럽거나 눈이 쌓였으면 걷기를 접고 '하코네 토잔 버스'로 오다와라↔하코네마치/모토하코네 구간을 넘는 </t>
    </r>
    <r>
      <rPr>
        <b/>
        <sz val="10"/>
        <color rgb="FFC00000"/>
        <rFont val="Pretendard SemiBold"/>
        <family val="3"/>
        <charset val="129"/>
      </rPr>
      <t>플랜 B로 바꾸세요</t>
    </r>
    <r>
      <rPr>
        <sz val="10"/>
        <color rgb="FF000000"/>
        <rFont val="Pretendard SemiBold"/>
        <family val="3"/>
        <charset val="129"/>
      </rPr>
      <t xml:space="preserve"> (옛길과 거의 같은 경로를 버스가 다닙니다). </t>
    </r>
    <r>
      <rPr>
        <b/>
        <sz val="10"/>
        <color rgb="FFC00000"/>
        <rFont val="Pretendard SemiBold"/>
        <family val="3"/>
        <charset val="129"/>
      </rPr>
      <t>작은 아이젠(체인 스파이크)을 배낭에 챙기면</t>
    </r>
    <r>
      <rPr>
        <sz val="10"/>
        <color rgb="FF000000"/>
        <rFont val="Pretendard SemiBold"/>
        <family val="3"/>
        <charset val="129"/>
      </rPr>
      <t xml:space="preserve"> 얼어붙은 돌길에서 안전합니다.</t>
    </r>
  </si>
  <si>
    <t>화장실·물</t>
  </si>
  <si>
    <t>길에 공중화장실이 적어 편의점·역·도로 휴게소(미치노에키)를 이용합니다. 수돗물은 마셔도 됩니다. 화장실 휴지는 변기에 흘려보냅니다.</t>
  </si>
  <si>
    <r>
      <t xml:space="preserve">거리에 </t>
    </r>
    <r>
      <rPr>
        <b/>
        <sz val="10"/>
        <color rgb="FFC00000"/>
        <rFont val="Pretendard SemiBold"/>
        <family val="3"/>
        <charset val="129"/>
      </rPr>
      <t>쓰레기통이 거의 없습니다</t>
    </r>
    <r>
      <rPr>
        <sz val="10"/>
        <color rgb="FF000000"/>
        <rFont val="Pretendard SemiBold"/>
        <family val="3"/>
        <charset val="129"/>
      </rPr>
      <t>. 작은 봉투를 들고 다니다 편의점이나 숙소에서 버리세요.</t>
    </r>
  </si>
  <si>
    <t>걸으면서 먹는 것을 좋지 않게 보는 지역이 있습니다. 산 가게 앞이나 벤치에서 먹고 가세요.</t>
  </si>
  <si>
    <t>길거리 흡연 금지 구역이 많아 지정 흡연소에서만 피웁니다.</t>
  </si>
  <si>
    <r>
      <t>전철 안에서는 통화하지 않고</t>
    </r>
    <r>
      <rPr>
        <sz val="10"/>
        <color rgb="FF000000"/>
        <rFont val="Pretendard SemiBold"/>
        <family val="3"/>
        <charset val="129"/>
      </rPr>
      <t xml:space="preserve"> 휴대폰은 진동으로 합니다. 에스컬레이터는 도쿄는 왼쪽, 오사카는 오른쪽에 서는 편입니다.</t>
    </r>
  </si>
  <si>
    <t>료칸, 일부 식당, 성 천수각 안, 신사·절 건물 안에서는 신발을 벗습니다. 구멍 없는 양말을 챙기세요.</t>
  </si>
  <si>
    <r>
      <t>도리이 한가운데는 신이 다니는 길이라 가장자리로 걷습니다. 손 씻는 곳(데미즈야)에서 손과 입을 헹구고, '</t>
    </r>
    <r>
      <rPr>
        <b/>
        <sz val="10"/>
        <color rgb="FFC00000"/>
        <rFont val="Pretendard SemiBold"/>
        <family val="3"/>
        <charset val="129"/>
      </rPr>
      <t>두 번 절, 두 번 박수, 한 번 절</t>
    </r>
    <r>
      <rPr>
        <sz val="10"/>
        <color rgb="FF000000"/>
        <rFont val="Pretendard SemiBold"/>
        <family val="3"/>
        <charset val="129"/>
      </rPr>
      <t>'로 참배합니다.</t>
    </r>
  </si>
  <si>
    <r>
      <t>탕에 들어가기 전에 몸을 씻고</t>
    </r>
    <r>
      <rPr>
        <sz val="10"/>
        <color rgb="FF000000"/>
        <rFont val="Pretendard SemiBold"/>
        <family val="3"/>
        <charset val="129"/>
      </rPr>
      <t>, 수건은 탕에 넣지 않으며, 긴 머리는 묶습니다. 문신이 있으면 입장을 거절하는 곳이 있습니다.</t>
    </r>
  </si>
  <si>
    <t>주문·대기</t>
  </si>
  <si>
    <r>
      <t xml:space="preserve">줄 서는 가게는 입구 명단에 이름을 적고 기다리는 곳이 많습니다. 라멘·우동집은 입구 자판기에서 </t>
    </r>
    <r>
      <rPr>
        <b/>
        <sz val="10"/>
        <color rgb="FFC00000"/>
        <rFont val="Pretendard SemiBold"/>
        <family val="3"/>
        <charset val="129"/>
      </rPr>
      <t>식권을 먼저 사는 곳</t>
    </r>
    <r>
      <rPr>
        <sz val="10"/>
        <color rgb="FF000000"/>
        <rFont val="Pretendard SemiBold"/>
        <family val="3"/>
        <charset val="129"/>
      </rPr>
      <t>이 많습니다. 이자카야는 자릿세처럼 기본 안주(오토시) 값이 붙습니다.</t>
    </r>
  </si>
  <si>
    <r>
      <t xml:space="preserve">100V, 납작한 11자 플러그. </t>
    </r>
    <r>
      <rPr>
        <b/>
        <sz val="10"/>
        <color rgb="FFC00000"/>
        <rFont val="Pretendard SemiBold"/>
        <family val="3"/>
        <charset val="129"/>
      </rPr>
      <t>돼지코(변환 어댑터)를 꼭 챙기세요</t>
    </r>
    <r>
      <rPr>
        <sz val="10"/>
        <color rgb="FF000000"/>
        <rFont val="Pretendard SemiBold"/>
        <family val="3"/>
        <charset val="129"/>
      </rPr>
      <t>. 휴대폰·노트북 충전기는 대부분 그대로 쓸 수 있습니다.</t>
    </r>
  </si>
  <si>
    <r>
      <t xml:space="preserve">로밍보다 eSIM이나 포켓 와이파이가 저렴합니다. 지도 앱을 하루 종일 쓰니 </t>
    </r>
    <r>
      <rPr>
        <b/>
        <sz val="10"/>
        <color rgb="FFC00000"/>
        <rFont val="Pretendard SemiBold"/>
        <family val="3"/>
        <charset val="129"/>
      </rPr>
      <t>데이터를 넉넉하게</t>
    </r>
    <r>
      <rPr>
        <sz val="10"/>
        <color rgb="FF000000"/>
        <rFont val="Pretendard SemiBold"/>
        <family val="3"/>
        <charset val="129"/>
      </rPr>
      <t>, 보조배터리도 챙기세요.</t>
    </r>
  </si>
  <si>
    <t>안전·건강</t>
  </si>
  <si>
    <r>
      <t xml:space="preserve">치안은 좋은 편입니다. 지진이 나면 숙소의 대피 안내를 따르고 휴대폰 긴급 알림을 켜 두세요. </t>
    </r>
    <r>
      <rPr>
        <b/>
        <sz val="10"/>
        <color rgb="FFC00000"/>
        <rFont val="Pretendard SemiBold"/>
        <family val="3"/>
        <charset val="129"/>
      </rPr>
      <t>여행자보험은 꼭 드세요</t>
    </r>
    <r>
      <rPr>
        <sz val="10"/>
        <color rgb="FF000000"/>
        <rFont val="Pretendard SemiBold"/>
        <family val="3"/>
        <charset val="129"/>
      </rPr>
      <t xml:space="preserve">. </t>
    </r>
    <r>
      <rPr>
        <b/>
        <sz val="10"/>
        <color rgb="FFC00000"/>
        <rFont val="Pretendard SemiBold"/>
        <family val="3"/>
        <charset val="129"/>
      </rPr>
      <t>구급차·소방 119, 경찰 110</t>
    </r>
    <r>
      <rPr>
        <sz val="10"/>
        <color rgb="FF000000"/>
        <rFont val="Pretendard SemiBold"/>
        <family val="3"/>
        <charset val="129"/>
      </rPr>
      <t>.</t>
    </r>
  </si>
  <si>
    <r>
      <t xml:space="preserve">차는 왼쪽으로 다닙니다. 길을 건널 때 </t>
    </r>
    <r>
      <rPr>
        <b/>
        <sz val="10"/>
        <color rgb="FFC00000"/>
        <rFont val="Pretendard SemiBold"/>
        <family val="3"/>
        <charset val="129"/>
      </rPr>
      <t>오른쪽부터 확인하세요</t>
    </r>
    <r>
      <rPr>
        <sz val="10"/>
        <color rgb="FF000000"/>
        <rFont val="Pretendard SemiBold"/>
        <family val="3"/>
        <charset val="129"/>
      </rPr>
      <t>. 국도 옆을 걸을 때는 인도가 좁은 곳이 있으니 반사띠나 밝은 옷이 좋습니다.</t>
    </r>
  </si>
  <si>
    <t>빨간 굵은 글씨(한국어 칸) = 꼭 외워 두면 좋은 문장</t>
  </si>
  <si>
    <t>안녕하세요 (낮)</t>
  </si>
  <si>
    <t>안녕하세요 (아침)</t>
  </si>
  <si>
    <t>오하요- 고자이마스</t>
  </si>
  <si>
    <t>오전 10시 무렵까지</t>
  </si>
  <si>
    <t>안녕하세요 (저녁)</t>
  </si>
  <si>
    <t>아리가토- 고자이마스</t>
  </si>
  <si>
    <t>부르기·사과</t>
  </si>
  <si>
    <t>저기요 / 죄송합니다</t>
  </si>
  <si>
    <t>사람을 부를 때, 길을 비켜 달라고 할 때, 사과할 때 모두 씀</t>
  </si>
  <si>
    <t>네 / 아니요</t>
  </si>
  <si>
    <t>はい / いいえ</t>
  </si>
  <si>
    <t>하이 / 이-에</t>
  </si>
  <si>
    <t>괜찮아요 (필요 없어요)</t>
  </si>
  <si>
    <t>다이죠-부데스</t>
  </si>
  <si>
    <t>봉투·젓가락 등을 거절할 때도 씀</t>
  </si>
  <si>
    <t>물건을 가리키며 '이거 오네가이시마스'면 대부분 통함</t>
  </si>
  <si>
    <t>모- 이치도 오네가이시마스</t>
  </si>
  <si>
    <r>
      <t>韓</t>
    </r>
    <r>
      <rPr>
        <sz val="10"/>
        <color rgb="FF000000"/>
        <rFont val="Noto Sans CJK SC"/>
        <family val="2"/>
      </rPr>
      <t>国</t>
    </r>
    <r>
      <rPr>
        <sz val="10"/>
        <color rgb="FF000000"/>
        <rFont val="Pretendard SemiBold"/>
        <family val="3"/>
        <charset val="129"/>
      </rPr>
      <t>から</t>
    </r>
    <r>
      <rPr>
        <sz val="10"/>
        <color rgb="FF000000"/>
        <rFont val="Noto Sans CJK SC"/>
        <family val="2"/>
      </rPr>
      <t>来</t>
    </r>
    <r>
      <rPr>
        <sz val="10"/>
        <color rgb="FF000000"/>
        <rFont val="Pretendard SemiBold"/>
        <family val="3"/>
        <charset val="129"/>
      </rPr>
      <t>ました</t>
    </r>
  </si>
  <si>
    <t>걷기·길</t>
  </si>
  <si>
    <t>도카이도 옛길은 어느 쪽이에요?</t>
  </si>
  <si>
    <r>
      <rPr>
        <sz val="10"/>
        <color rgb="FF000000"/>
        <rFont val="Noto Sans CJK SC"/>
        <family val="2"/>
      </rPr>
      <t>旧</t>
    </r>
    <r>
      <rPr>
        <sz val="10"/>
        <color rgb="FF000000"/>
        <rFont val="Pretendard SemiBold"/>
        <family val="3"/>
        <charset val="129"/>
      </rPr>
      <t>東海道はどちらですか？</t>
    </r>
  </si>
  <si>
    <t>규- 토-카이도-와 도치라데스카?</t>
  </si>
  <si>
    <t>옛길은 '규-카이도-'라고 함</t>
  </si>
  <si>
    <t>○○까지 걸어서 얼마나 걸려요?</t>
  </si>
  <si>
    <r>
      <t>○○まで</t>
    </r>
    <r>
      <rPr>
        <sz val="10"/>
        <color rgb="FF000000"/>
        <rFont val="Noto Sans CJK SC"/>
        <family val="2"/>
      </rPr>
      <t>歩</t>
    </r>
    <r>
      <rPr>
        <sz val="10"/>
        <color rgb="FF000000"/>
        <rFont val="Pretendard SemiBold"/>
        <family val="3"/>
        <charset val="129"/>
      </rPr>
      <t>いてどのくらいかかりますか？</t>
    </r>
  </si>
  <si>
    <t>○○마데 아루이테 도노쿠라이 카카리마스카?</t>
  </si>
  <si>
    <t>이 길로 가면 ○○에 가요?</t>
  </si>
  <si>
    <t>코노 미치데 ○○니 이케마스카?</t>
  </si>
  <si>
    <t>여기가 지도에서 어디예요?</t>
  </si>
  <si>
    <r>
      <t>ここは地</t>
    </r>
    <r>
      <rPr>
        <sz val="10"/>
        <color rgb="FF000000"/>
        <rFont val="Noto Sans CJK SC"/>
        <family val="2"/>
      </rPr>
      <t>図</t>
    </r>
    <r>
      <rPr>
        <sz val="10"/>
        <color rgb="FF000000"/>
        <rFont val="Pretendard SemiBold"/>
        <family val="3"/>
        <charset val="129"/>
      </rPr>
      <t>のどこですか？</t>
    </r>
  </si>
  <si>
    <t>코코와 치즈노 도코데스카?</t>
  </si>
  <si>
    <t>화장실은 어디예요?</t>
  </si>
  <si>
    <t>토이레와 도코데스카?</t>
  </si>
  <si>
    <t>편의점·역·도로 휴게소(미치노에키) 화장실을 쓰면 편함</t>
  </si>
  <si>
    <r>
      <t>東京から京都まで</t>
    </r>
    <r>
      <rPr>
        <sz val="10"/>
        <color rgb="FF000000"/>
        <rFont val="Noto Sans CJK SC"/>
        <family val="2"/>
      </rPr>
      <t>歩</t>
    </r>
    <r>
      <rPr>
        <sz val="10"/>
        <color rgb="FF000000"/>
        <rFont val="Pretendard SemiBold"/>
        <family val="3"/>
        <charset val="129"/>
      </rPr>
      <t>いています</t>
    </r>
  </si>
  <si>
    <t>도-쿄-카라 쿄-토마데 아루이테 이마스</t>
  </si>
  <si>
    <t>사진 찍어 주시겠어요?</t>
  </si>
  <si>
    <r>
      <rPr>
        <sz val="10"/>
        <color rgb="FF000000"/>
        <rFont val="Noto Sans CJK SC"/>
        <family val="2"/>
      </rPr>
      <t>写真</t>
    </r>
    <r>
      <rPr>
        <sz val="10"/>
        <color rgb="FF000000"/>
        <rFont val="Pretendard SemiBold"/>
        <family val="3"/>
        <charset val="129"/>
      </rPr>
      <t>を撮っていただけますか？</t>
    </r>
  </si>
  <si>
    <t>샤싱오 톳테 이타다케마스카?</t>
  </si>
  <si>
    <t>여기서 사진 찍어도 돼요?</t>
  </si>
  <si>
    <r>
      <t>ここで</t>
    </r>
    <r>
      <rPr>
        <sz val="10"/>
        <color rgb="FF000000"/>
        <rFont val="Noto Sans CJK SC"/>
        <family val="2"/>
      </rPr>
      <t>写真</t>
    </r>
    <r>
      <rPr>
        <sz val="10"/>
        <color rgb="FF000000"/>
        <rFont val="Pretendard SemiBold"/>
        <family val="3"/>
        <charset val="129"/>
      </rPr>
      <t>を撮ってもいいですか？</t>
    </r>
  </si>
  <si>
    <t>코코데 샤싱오 톳테모 이-데스카?</t>
  </si>
  <si>
    <t>신사·절 안에서는 확인하기</t>
  </si>
  <si>
    <t>IC카드(스이카 등)가 있으면 대부분 필요 없음</t>
  </si>
  <si>
    <t>○○ 가는 열차는 몇 번 승강장이에요?</t>
  </si>
  <si>
    <t>○○유키와 난반센데스카?</t>
  </si>
  <si>
    <t>이 열차 ○○에 서요?</t>
  </si>
  <si>
    <t>코노 덴샤와 ○○니 토마리마스카?</t>
  </si>
  <si>
    <t>쾌속·특급은 작은 역을 지나칠 수 있음</t>
  </si>
  <si>
    <t>이 버스 ○○에 가요?</t>
  </si>
  <si>
    <t>코노 바스와 ○○니 이키마스카?</t>
  </si>
  <si>
    <t>시골 버스는 뒷문으로 타서 정리권을 뽑고, 앞문에서 요금을 냄</t>
  </si>
  <si>
    <r>
      <t>○○に着いたら</t>
    </r>
    <r>
      <rPr>
        <sz val="10"/>
        <color rgb="FF000000"/>
        <rFont val="Noto Sans CJK SC"/>
        <family val="2"/>
      </rPr>
      <t>教</t>
    </r>
    <r>
      <rPr>
        <sz val="10"/>
        <color rgb="FF000000"/>
        <rFont val="Pretendard SemiBold"/>
        <family val="3"/>
        <charset val="129"/>
      </rPr>
      <t>えてください</t>
    </r>
  </si>
  <si>
    <t>코인 로커는 어디예요?</t>
  </si>
  <si>
    <r>
      <t>コインロッカ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はどこですか？</t>
    </r>
  </si>
  <si>
    <t>코인 록카-와 도코데스카?</t>
  </si>
  <si>
    <t>자리 있어요?</t>
  </si>
  <si>
    <t>아이테 이마스카?</t>
  </si>
  <si>
    <r>
      <t>メニュ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をください</t>
    </r>
  </si>
  <si>
    <t>메뉴-오 쿠다사이</t>
  </si>
  <si>
    <t>한국어(영어) 메뉴 있어요?</t>
  </si>
  <si>
    <r>
      <t>韓</t>
    </r>
    <r>
      <rPr>
        <sz val="10"/>
        <color rgb="FF000000"/>
        <rFont val="Noto Sans CJK SC"/>
        <family val="2"/>
      </rPr>
      <t>国</t>
    </r>
    <r>
      <rPr>
        <sz val="10"/>
        <color rgb="FF000000"/>
        <rFont val="Pretendard SemiBold"/>
        <family val="3"/>
        <charset val="129"/>
      </rPr>
      <t>語（英語）のメニュ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はありますか？</t>
    </r>
  </si>
  <si>
    <t>캉코쿠고(에-고)노 메뉴-와 아리마스카?</t>
  </si>
  <si>
    <t>추천 메뉴가 뭐예요?</t>
  </si>
  <si>
    <t>오스스메와 난데스카?</t>
  </si>
  <si>
    <t>이 지역 명물은 뭐예요?</t>
  </si>
  <si>
    <r>
      <t>この</t>
    </r>
    <r>
      <rPr>
        <sz val="10"/>
        <color rgb="FF000000"/>
        <rFont val="Noto Sans CJK SC"/>
        <family val="2"/>
      </rPr>
      <t>辺</t>
    </r>
    <r>
      <rPr>
        <sz val="10"/>
        <color rgb="FF000000"/>
        <rFont val="Pretendard SemiBold"/>
        <family val="3"/>
        <charset val="129"/>
      </rPr>
      <t>の名物は何ですか？</t>
    </r>
  </si>
  <si>
    <t>코노 헨노 메-부츠와 난데스카?</t>
  </si>
  <si>
    <r>
      <t>生ビ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ルを一つください</t>
    </r>
  </si>
  <si>
    <t>나마 비-루오 히토츠 쿠다사이</t>
  </si>
  <si>
    <t>곱빼기 / 밥 많이</t>
  </si>
  <si>
    <t>오-모리데</t>
  </si>
  <si>
    <r>
      <t>○○</t>
    </r>
    <r>
      <rPr>
        <sz val="10"/>
        <color rgb="FF000000"/>
        <rFont val="Noto Sans CJK SC"/>
        <family val="2"/>
      </rPr>
      <t>抜</t>
    </r>
    <r>
      <rPr>
        <sz val="10"/>
        <color rgb="FF000000"/>
        <rFont val="Pretendard SemiBold"/>
        <family val="3"/>
        <charset val="129"/>
      </rPr>
      <t>きでお願いします</t>
    </r>
  </si>
  <si>
    <t>식권은 어디서 사요?</t>
  </si>
  <si>
    <t>숏켄와 도코데 카이마스카?</t>
  </si>
  <si>
    <t>라멘집·우동집은 입구 자판기에서 식권을 먼저 사는 곳이 많음</t>
  </si>
  <si>
    <t>고치소-사마데시타</t>
  </si>
  <si>
    <r>
      <t>お</t>
    </r>
    <r>
      <rPr>
        <sz val="10"/>
        <color rgb="FF000000"/>
        <rFont val="Noto Sans CJK SC"/>
        <family val="2"/>
      </rPr>
      <t>会</t>
    </r>
    <r>
      <rPr>
        <sz val="10"/>
        <color rgb="FF000000"/>
        <rFont val="Pretendard SemiBold"/>
        <family val="3"/>
        <charset val="129"/>
      </rPr>
      <t>計お願いします</t>
    </r>
  </si>
  <si>
    <t>오카이케- 오네가이시마스</t>
  </si>
  <si>
    <t>손가락으로 X자를 만들어도 통함</t>
  </si>
  <si>
    <t>카드 돼요?</t>
  </si>
  <si>
    <r>
      <t>カ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ドは使えますか？</t>
    </r>
  </si>
  <si>
    <t>카-도와 츠카에마스카?</t>
  </si>
  <si>
    <t>포장돼요?</t>
  </si>
  <si>
    <r>
      <t>持ち</t>
    </r>
    <r>
      <rPr>
        <sz val="10"/>
        <color rgb="FF000000"/>
        <rFont val="Noto Sans CJK SC"/>
        <family val="2"/>
      </rPr>
      <t>帰</t>
    </r>
    <r>
      <rPr>
        <sz val="10"/>
        <color rgb="FF000000"/>
        <rFont val="Pretendard SemiBold"/>
        <family val="3"/>
        <charset val="129"/>
      </rPr>
      <t>りできますか？</t>
    </r>
  </si>
  <si>
    <t>모치카에리 데키마스카?</t>
  </si>
  <si>
    <t>체크인 부탁합니다. 예약한 ○○입니다</t>
  </si>
  <si>
    <t>첵쿠인 오네가이시마스. 요야쿠시타 ○○데스</t>
  </si>
  <si>
    <t>짐을 맡길 수 있어요?</t>
  </si>
  <si>
    <t>니모츠오 아즈캇테 모라에마스카?</t>
  </si>
  <si>
    <t>체크인 전·체크아웃 후 모두 사용</t>
  </si>
  <si>
    <t>체크아웃은 몇 시예요?</t>
  </si>
  <si>
    <t>첵쿠아우토와 난지데스카?</t>
  </si>
  <si>
    <t>아침 식사는 몇 시부터예요?</t>
  </si>
  <si>
    <t>쵸-쇼쿠와 난지카라데스카?</t>
  </si>
  <si>
    <t>대욕장은 어디예요?</t>
  </si>
  <si>
    <t>다이요쿠죠-와 도코데스카?</t>
  </si>
  <si>
    <t>세탁기 있어요?</t>
  </si>
  <si>
    <t>센타쿠키와 아리마스카?</t>
  </si>
  <si>
    <r>
      <t>코인 세탁실은 'コインランドリ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(코인 란도리-)'</t>
    </r>
  </si>
  <si>
    <t>와이파이 비밀번호가 뭐예요?</t>
  </si>
  <si>
    <r>
      <t>Wi-Fiのパスワ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ドは何ですか？</t>
    </r>
  </si>
  <si>
    <t>와이파이노 파스와-도와 난데스카?</t>
  </si>
  <si>
    <t>하루 더 묵을 수 있어요?</t>
  </si>
  <si>
    <t>모- 입파쿠 데키마스카?</t>
  </si>
  <si>
    <t>다음 숙소로 짐을 보낼 수 있어요?</t>
  </si>
  <si>
    <t>츠기노 야도니 니모츠오 오쿠레마스카?</t>
  </si>
  <si>
    <t>일본은 택배(타큐빈)로 짐을 다음 숙소에 보내 두고 가볍게 걸을 수 있음</t>
  </si>
  <si>
    <t>입욕료는 얼마예요?</t>
  </si>
  <si>
    <t>뉴-요쿠료-와 이쿠라데스카?</t>
  </si>
  <si>
    <t>수건 빌릴 수 있어요?</t>
  </si>
  <si>
    <t>타오루오 카리라레마스카?</t>
  </si>
  <si>
    <t>문신이 있어도 들어갈 수 있어요?</t>
  </si>
  <si>
    <r>
      <t>タトゥ</t>
    </r>
    <r>
      <rPr>
        <sz val="10"/>
        <color rgb="FF000000"/>
        <rFont val="Noto Sans CJK SC"/>
        <family val="2"/>
      </rPr>
      <t>ー</t>
    </r>
    <r>
      <rPr>
        <sz val="10"/>
        <color rgb="FF000000"/>
        <rFont val="Pretendard SemiBold"/>
        <family val="3"/>
        <charset val="129"/>
      </rPr>
      <t>があっても入れますか？</t>
    </r>
  </si>
  <si>
    <t>타투-가 앗테모 하이레마스카?</t>
  </si>
  <si>
    <t>남탕 / 여탕</t>
  </si>
  <si>
    <t>男湯（おとこゆ）/ 女湯（おんなゆ）</t>
  </si>
  <si>
    <t>오토코유 / 온나유</t>
  </si>
  <si>
    <t>남탕은 보통 파란 포렴, 여탕은 빨간 포렴. 들어가기 전에 몸을 씻고, 수건은 탕에 넣지 않음</t>
  </si>
  <si>
    <t>쇼핑·편의점</t>
  </si>
  <si>
    <t>얼마예요?</t>
  </si>
  <si>
    <t>이쿠라데스카?</t>
  </si>
  <si>
    <r>
      <rPr>
        <sz val="10"/>
        <color rgb="FF000000"/>
        <rFont val="Noto Sans CJK SC"/>
        <family val="2"/>
      </rPr>
      <t>温</t>
    </r>
    <r>
      <rPr>
        <sz val="10"/>
        <color rgb="FF000000"/>
        <rFont val="Pretendard SemiBold"/>
        <family val="3"/>
        <charset val="129"/>
      </rPr>
      <t>めてください</t>
    </r>
  </si>
  <si>
    <t>도시락·주먹밥을 살 때</t>
  </si>
  <si>
    <t>봉투는 유료(몇 엔)</t>
  </si>
  <si>
    <t>면세 되나요?</t>
  </si>
  <si>
    <r>
      <t>免</t>
    </r>
    <r>
      <rPr>
        <sz val="10"/>
        <color rgb="FF000000"/>
        <rFont val="Noto Sans CJK SC"/>
        <family val="2"/>
      </rPr>
      <t>税</t>
    </r>
    <r>
      <rPr>
        <sz val="10"/>
        <color rgb="FF000000"/>
        <rFont val="Pretendard SemiBold"/>
        <family val="3"/>
        <charset val="129"/>
      </rPr>
      <t>できますか？</t>
    </r>
  </si>
  <si>
    <t>멘제- 데키마스카?</t>
  </si>
  <si>
    <t>○○ 있어요?</t>
  </si>
  <si>
    <t>○○와 아리마스카?</t>
  </si>
  <si>
    <t>몸·긴급</t>
  </si>
  <si>
    <t>약국은 어디예요?</t>
  </si>
  <si>
    <r>
      <rPr>
        <sz val="10"/>
        <color rgb="FF000000"/>
        <rFont val="Noto Sans CJK SC"/>
        <family val="2"/>
      </rPr>
      <t>薬</t>
    </r>
    <r>
      <rPr>
        <sz val="10"/>
        <color rgb="FF000000"/>
        <rFont val="Pretendard SemiBold"/>
        <family val="3"/>
        <charset val="129"/>
      </rPr>
      <t>局はどこですか？</t>
    </r>
  </si>
  <si>
    <t>얏쿄쿠와 도코데스카?</t>
  </si>
  <si>
    <t>드럭스토어(ドラッグストア)에 반창고·파스가 많음</t>
  </si>
  <si>
    <t>물집용 반창고 있어요?</t>
  </si>
  <si>
    <t>쿠츠즈레요-노 반소-코-와 아리마스카?</t>
  </si>
  <si>
    <t>물집은 '마메', 신발에 쓸린 상처는 '쿠츠즈레'</t>
  </si>
  <si>
    <t>파스 주세요 (발목·무릎)</t>
  </si>
  <si>
    <r>
      <rPr>
        <sz val="10"/>
        <color rgb="FF000000"/>
        <rFont val="Noto Sans CJK SC"/>
        <family val="2"/>
      </rPr>
      <t>湿</t>
    </r>
    <r>
      <rPr>
        <sz val="10"/>
        <color rgb="FF000000"/>
        <rFont val="Pretendard SemiBold"/>
        <family val="3"/>
        <charset val="129"/>
      </rPr>
      <t>布をください</t>
    </r>
  </si>
  <si>
    <t>무릎은 '히자(膝)', 발은 '아시(足)'</t>
  </si>
  <si>
    <r>
      <rPr>
        <sz val="10"/>
        <color rgb="FF000000"/>
        <rFont val="Noto Sans CJK SC"/>
        <family val="2"/>
      </rPr>
      <t>気</t>
    </r>
    <r>
      <rPr>
        <sz val="10"/>
        <color rgb="FF000000"/>
        <rFont val="Pretendard SemiBold"/>
        <family val="3"/>
        <charset val="129"/>
      </rPr>
      <t>分が</t>
    </r>
    <r>
      <rPr>
        <sz val="10"/>
        <color rgb="FF000000"/>
        <rFont val="Noto Sans CJK SC"/>
        <family val="2"/>
      </rPr>
      <t>悪</t>
    </r>
    <r>
      <rPr>
        <sz val="10"/>
        <color rgb="FF000000"/>
        <rFont val="Pretendard SemiBold"/>
        <family val="3"/>
        <charset val="129"/>
      </rPr>
      <t>いです</t>
    </r>
  </si>
  <si>
    <t>뵤-인니 이키타이데스</t>
  </si>
  <si>
    <t>도와주세요!</t>
  </si>
  <si>
    <t>타스케테 쿠다사이!</t>
  </si>
  <si>
    <t>구급차·소방 119, 경찰 110</t>
  </si>
  <si>
    <t>가까운 파출소(交番, 코-반)에 가면 됨</t>
  </si>
  <si>
    <t>하나 / 둘 / 셋 (개수)</t>
  </si>
  <si>
    <t>一つ / 二つ / 三つ</t>
  </si>
  <si>
    <t>히토츠 / 후타츠 / 밋츠</t>
  </si>
  <si>
    <t>1명 / 2명</t>
  </si>
  <si>
    <t>一人 / 二人</t>
  </si>
  <si>
    <t>히토리 / 후타리</t>
  </si>
  <si>
    <t>1박 / 2박</t>
  </si>
  <si>
    <t>一泊 / 二泊</t>
  </si>
  <si>
    <t>입파쿠 / 니하쿠</t>
  </si>
  <si>
    <t>도쿄 관광</t>
    <phoneticPr fontId="31" type="noConversion"/>
  </si>
  <si>
    <t>하코네 온천 휴식</t>
    <phoneticPr fontId="31" type="noConversion"/>
  </si>
  <si>
    <t>후지강·유이·삿타 고개</t>
    <phoneticPr fontId="31" type="noConversion"/>
  </si>
  <si>
    <t xml:space="preserve">오키쓰 온천 휴식 </t>
    <phoneticPr fontId="31" type="noConversion"/>
  </si>
  <si>
    <t>마리코·우쓰노야 고개</t>
    <phoneticPr fontId="31" type="noConversion"/>
  </si>
  <si>
    <t>평지 짧은 날, 회복</t>
    <phoneticPr fontId="31" type="noConversion"/>
  </si>
  <si>
    <t>돌길·차밭, 긴 날</t>
    <phoneticPr fontId="31" type="noConversion"/>
  </si>
  <si>
    <t>하마나호</t>
    <phoneticPr fontId="31" type="noConversion"/>
  </si>
  <si>
    <t>하마나호 쉬는 날</t>
    <phoneticPr fontId="31" type="noConversion"/>
  </si>
  <si>
    <t>바다 전망, 긴 날</t>
    <phoneticPr fontId="31" type="noConversion"/>
  </si>
  <si>
    <t xml:space="preserve">평지 </t>
    <phoneticPr fontId="31" type="noConversion"/>
  </si>
  <si>
    <t>이동하며 쉬는 날</t>
    <phoneticPr fontId="31" type="noConversion"/>
  </si>
  <si>
    <t xml:space="preserve">쇼노·가메야마 </t>
    <phoneticPr fontId="31" type="noConversion"/>
  </si>
  <si>
    <t>예비</t>
    <phoneticPr fontId="31" type="noConversion"/>
  </si>
  <si>
    <t xml:space="preserve">관광 </t>
    <phoneticPr fontId="31" type="noConversion"/>
  </si>
  <si>
    <t>오사카 이동</t>
    <phoneticPr fontId="31" type="noConversion"/>
  </si>
  <si>
    <t>에지리·구사나기</t>
    <phoneticPr fontId="31" type="noConversion"/>
  </si>
  <si>
    <t>해 지기 전 여유</t>
    <phoneticPr fontId="31" type="noConversion"/>
  </si>
  <si>
    <t>8 오이소
9 오다와라</t>
    <phoneticPr fontId="31" type="noConversion"/>
  </si>
  <si>
    <t>29 하마마쓰
30 마이사카
31 아라이</t>
    <phoneticPr fontId="31" type="noConversion"/>
  </si>
  <si>
    <t>45 쇼노
46 가메야마</t>
    <phoneticPr fontId="31" type="noConversion"/>
  </si>
  <si>
    <t>지나는 역참</t>
    <phoneticPr fontId="31" type="noConversion"/>
  </si>
  <si>
    <r>
      <t>관광)세이켄지·오키쓰 옛 거리 (걸어서)</t>
    </r>
    <r>
      <rPr>
        <sz val="10"/>
        <color rgb="FF000000"/>
        <rFont val="Pretendard SemiBold"/>
        <family val="3"/>
        <charset val="129"/>
      </rPr>
      <t xml:space="preserve">, </t>
    </r>
    <r>
      <rPr>
        <i/>
        <sz val="10"/>
        <color rgb="FFC65911"/>
        <rFont val="Pretendard SemiBold"/>
        <family val="3"/>
        <charset val="129"/>
      </rPr>
      <t>관광)미호노마쓰바라 
(선택, 버스)</t>
    </r>
    <r>
      <rPr>
        <sz val="10"/>
        <color rgb="FF000000"/>
        <rFont val="Pretendard SemiBold"/>
        <family val="3"/>
        <charset val="129"/>
      </rPr>
      <t xml:space="preserve">, </t>
    </r>
    <r>
      <rPr>
        <i/>
        <sz val="10"/>
        <color rgb="FFC65911"/>
        <rFont val="Pretendard SemiBold"/>
        <family val="3"/>
        <charset val="129"/>
      </rPr>
      <t>관광)숙소 온천에서 쉬기</t>
    </r>
    <phoneticPr fontId="31" type="noConversion"/>
  </si>
  <si>
    <r>
      <t xml:space="preserve">교통)가케가와역 → 하마마쓰역 (JR, 약 30분)
</t>
    </r>
    <r>
      <rPr>
        <b/>
        <sz val="10"/>
        <color rgb="FF1B5E20"/>
        <rFont val="Pretendard SemiBold"/>
        <family val="3"/>
        <charset val="129"/>
      </rPr>
      <t>걷기)하마마쓰 → 마이사카 → 벤텐지마 → 아라이 관소 → 와시즈 (호숫가 숙소)</t>
    </r>
    <phoneticPr fontId="31" type="noConversion"/>
  </si>
  <si>
    <r>
      <t>관광)숙소에서 늦잠</t>
    </r>
    <r>
      <rPr>
        <sz val="10"/>
        <color rgb="FF000000"/>
        <rFont val="Pretendard SemiBold"/>
        <family val="3"/>
        <charset val="129"/>
      </rPr>
      <t xml:space="preserve">, </t>
    </r>
    <r>
      <rPr>
        <sz val="10"/>
        <color rgb="FF0070C0"/>
        <rFont val="Pretendard SemiBold"/>
        <family val="3"/>
        <charset val="129"/>
      </rPr>
      <t xml:space="preserve">교통)와시즈역 → 하마마쓰역 (JR) → 간잔지 온천 (버스)
</t>
    </r>
    <r>
      <rPr>
        <i/>
        <sz val="10"/>
        <color rgb="FFC65911"/>
        <rFont val="Pretendard SemiBold"/>
        <family val="3"/>
        <charset val="129"/>
      </rPr>
      <t>관광)간잔지 온천·유람선·장어 (원하는 곳만)</t>
    </r>
    <phoneticPr fontId="31" type="noConversion"/>
  </si>
  <si>
    <r>
      <t xml:space="preserve">걷기)도요하시 → 고유 소나무 가로수길 → 아카사카
</t>
    </r>
    <r>
      <rPr>
        <sz val="10"/>
        <color rgb="FF0070C0"/>
        <rFont val="Pretendard SemiBold"/>
        <family val="3"/>
        <charset val="129"/>
      </rPr>
      <t>교통)메이덴아카사카역 → 도요하시역 (메이테쓰)</t>
    </r>
    <phoneticPr fontId="31" type="noConversion"/>
  </si>
  <si>
    <r>
      <t xml:space="preserve">교통)도요하시역 → 메이덴아카사카역 (메이테쓰)
</t>
    </r>
    <r>
      <rPr>
        <b/>
        <sz val="10"/>
        <color rgb="FF1B5E20"/>
        <rFont val="Pretendard SemiBold"/>
        <family val="3"/>
        <charset val="129"/>
      </rPr>
      <t xml:space="preserve">걷기)아카사카 → 후지카와 → 오카자키성 → 히가시오카자키 (숙소)
</t>
    </r>
    <r>
      <rPr>
        <i/>
        <sz val="10"/>
        <color rgb="FFC65911"/>
        <rFont val="Pretendard SemiBold"/>
        <family val="3"/>
        <charset val="129"/>
      </rPr>
      <t>관광)오카자키성·핫초 미소 공장</t>
    </r>
    <phoneticPr fontId="31" type="noConversion"/>
  </si>
  <si>
    <r>
      <t>관광)나고야성 (오전)</t>
    </r>
    <r>
      <rPr>
        <sz val="10"/>
        <color rgb="FF000000"/>
        <rFont val="Pretendard SemiBold"/>
        <family val="3"/>
        <charset val="129"/>
      </rPr>
      <t xml:space="preserve">, </t>
    </r>
    <r>
      <rPr>
        <sz val="10"/>
        <color rgb="FF0070C0"/>
        <rFont val="Pretendard SemiBold"/>
        <family val="3"/>
        <charset val="129"/>
      </rPr>
      <t xml:space="preserve">교통)나고야역 → 구와나역 (JR·긴테쓰)
</t>
    </r>
    <r>
      <rPr>
        <i/>
        <sz val="10"/>
        <color rgb="FFC65911"/>
        <rFont val="Pretendard SemiBold"/>
        <family val="3"/>
        <charset val="129"/>
      </rPr>
      <t>관광)대합 점심·나가시마 온천·나바나노사토 (원하는 곳만)</t>
    </r>
    <phoneticPr fontId="31" type="noConversion"/>
  </si>
  <si>
    <r>
      <t xml:space="preserve">교통)구와나역 → 가사도역 (JR 간사이본선)
</t>
    </r>
    <r>
      <rPr>
        <b/>
        <sz val="10"/>
        <color rgb="FF1B5E20"/>
        <rFont val="Pretendard SemiBold"/>
        <family val="3"/>
        <charset val="129"/>
      </rPr>
      <t>걷기)가사도 → 쇼노 → 가메야마 → 세키 입구 (칸데오 호텔)</t>
    </r>
    <phoneticPr fontId="31" type="noConversion"/>
  </si>
  <si>
    <r>
      <t xml:space="preserve">걷기)숙소 → 세키주쿠 옛 거리 → 사카시타 → 스즈카 고개 → 쓰치야마
</t>
    </r>
    <r>
      <rPr>
        <sz val="10"/>
        <color rgb="FF0070C0"/>
        <rFont val="Pretendard SemiBold"/>
        <family val="3"/>
        <charset val="129"/>
      </rPr>
      <t>교통)쓰치야마 → 기부카와역 (버스) → 미나쿠치 (오미철도)</t>
    </r>
    <phoneticPr fontId="31" type="noConversion"/>
  </si>
  <si>
    <r>
      <t xml:space="preserve">교통)시나가와역 → 오이소역 (JR 도카이도선)
</t>
    </r>
    <r>
      <rPr>
        <b/>
        <sz val="10"/>
        <color rgb="FF1B5E20"/>
        <rFont val="Pretendard SemiBold"/>
        <family val="3"/>
        <charset val="129"/>
      </rPr>
      <t>걷기)오이소 → 오다와라</t>
    </r>
    <phoneticPr fontId="31" type="noConversion"/>
  </si>
  <si>
    <r>
      <t xml:space="preserve">걷기)시마다 → 호라이교 → 가나야 돌길 → 닛사카 → 가케가와역
</t>
    </r>
    <r>
      <rPr>
        <i/>
        <sz val="10"/>
        <color rgb="FFC65911"/>
        <rFont val="Pretendard SemiBold"/>
        <family val="3"/>
        <charset val="129"/>
      </rPr>
      <t>관광)가케가와성 (도착 후)</t>
    </r>
    <phoneticPr fontId="31" type="noConversion"/>
  </si>
  <si>
    <r>
      <t>교통)히가시오카자키역 → 지류역 (메이테쓰)</t>
    </r>
    <r>
      <rPr>
        <sz val="10"/>
        <color rgb="FF000000"/>
        <rFont val="Pretendard SemiBold"/>
        <family val="3"/>
        <charset val="129"/>
      </rPr>
      <t xml:space="preserve">, 
</t>
    </r>
    <r>
      <rPr>
        <b/>
        <sz val="10"/>
        <color rgb="FF1B5E20"/>
        <rFont val="Pretendard SemiBold"/>
        <family val="3"/>
        <charset val="129"/>
      </rPr>
      <t xml:space="preserve">걷기)지류 → 아리마쓰 옛 거리 → 나루미 → 아쓰타 신궁
</t>
    </r>
    <r>
      <rPr>
        <sz val="10"/>
        <color rgb="FF0070C0"/>
        <rFont val="Pretendard SemiBold"/>
        <family val="3"/>
        <charset val="129"/>
      </rPr>
      <t>교통)진구마에역 → 나고야역 (메이테쓰)</t>
    </r>
    <phoneticPr fontId="31" type="noConversion"/>
  </si>
  <si>
    <r>
      <t xml:space="preserve">교통)교토역 → 아리마 온천 (직행 고속버스)
</t>
    </r>
    <r>
      <rPr>
        <i/>
        <sz val="10"/>
        <color rgb="FFC65911"/>
        <rFont val="Pretendard SemiBold"/>
        <family val="3"/>
        <charset val="129"/>
      </rPr>
      <t>관광)킨노유·긴노유, 온천 거리</t>
    </r>
    <phoneticPr fontId="31" type="noConversion"/>
  </si>
  <si>
    <r>
      <t>교통)아리마 온천 → 오사카 우메다 (고속버스)</t>
    </r>
    <r>
      <rPr>
        <sz val="10"/>
        <color rgb="FF000000"/>
        <rFont val="Pretendard SemiBold"/>
        <family val="3"/>
        <charset val="129"/>
      </rPr>
      <t xml:space="preserve">, </t>
    </r>
    <r>
      <rPr>
        <sz val="10"/>
        <color rgb="FF0070C0"/>
        <rFont val="Pretendard SemiBold"/>
        <family val="3"/>
        <charset val="129"/>
      </rPr>
      <t xml:space="preserve">교통)우메다 → 난바 (지하철)
</t>
    </r>
    <r>
      <rPr>
        <i/>
        <sz val="10"/>
        <color rgb="FFC65911"/>
        <rFont val="Pretendard SemiBold"/>
        <family val="3"/>
        <charset val="129"/>
      </rPr>
      <t>관광)신세카이·도톤보리·오사카성</t>
    </r>
    <phoneticPr fontId="31" type="noConversion"/>
  </si>
  <si>
    <t>교통)난바역 → 간사이공항역 (난카이 라피트)</t>
    <phoneticPr fontId="31" type="noConversion"/>
  </si>
  <si>
    <t>하코네 
(아시노호수)</t>
  </si>
  <si>
    <t>하코네 
(아시노호수)</t>
    <phoneticPr fontId="31" type="noConversion"/>
  </si>
  <si>
    <t>하마나호 
(와시즈)</t>
  </si>
  <si>
    <t>하마나호 
(와시즈)</t>
    <phoneticPr fontId="31" type="noConversion"/>
  </si>
  <si>
    <t>가메야마 
(세키 입구)</t>
  </si>
  <si>
    <t>가메야마 
(세키 입구)</t>
    <phoneticPr fontId="31" type="noConversion"/>
  </si>
  <si>
    <t>오쓰 
(세타·이시야마)</t>
  </si>
  <si>
    <t>오쓰 
(세타·이시야마)</t>
    <phoneticPr fontId="31" type="noConversion"/>
  </si>
  <si>
    <t>오사카 
(난바)</t>
  </si>
  <si>
    <t>오사카 
(난바)</t>
    <phoneticPr fontId="31" type="noConversion"/>
  </si>
  <si>
    <t>걷는 거리 
(지도)</t>
    <phoneticPr fontId="31" type="noConversion"/>
  </si>
  <si>
    <r>
      <t>하코네 옛 돌길</t>
    </r>
    <r>
      <rPr>
        <sz val="10"/>
        <color rgb="FF000000"/>
        <rFont val="Pretendard SemiBold"/>
        <family val="3"/>
        <charset val="129"/>
      </rPr>
      <t xml:space="preserve">, </t>
    </r>
    <r>
      <rPr>
        <b/>
        <sz val="10"/>
        <color rgb="FFC00000"/>
        <rFont val="Pretendard SemiBold"/>
        <family val="3"/>
        <charset val="129"/>
      </rPr>
      <t>아마자케차야</t>
    </r>
    <r>
      <rPr>
        <sz val="10"/>
        <color rgb="FF000000"/>
        <rFont val="Pretendard SemiBold"/>
        <family val="3"/>
        <charset val="129"/>
      </rPr>
      <t xml:space="preserve">, 삼나무 가로수길, 하코네 관소, </t>
    </r>
    <r>
      <rPr>
        <b/>
        <sz val="10"/>
        <color rgb="FFC00000"/>
        <rFont val="Pretendard SemiBold"/>
        <family val="3"/>
        <charset val="129"/>
      </rPr>
      <t>하코네 신사</t>
    </r>
    <r>
      <rPr>
        <sz val="10"/>
        <color rgb="FF000000"/>
        <rFont val="Pretendard SemiBold"/>
        <family val="3"/>
        <charset val="129"/>
      </rPr>
      <t xml:space="preserve"> (호숫가 도리이)
온천: 하코네유모토 온천 (당일 입욕 시설이 많음), 아시노호수 쪽 숙소 온천</t>
    </r>
    <phoneticPr fontId="31" type="noConversion"/>
  </si>
  <si>
    <r>
      <t xml:space="preserve">유이 (점심, 유이역·유이항 주변): </t>
    </r>
    <r>
      <rPr>
        <b/>
        <sz val="10"/>
        <color rgb="FFC00000"/>
        <rFont val="Pretendard SemiBold"/>
        <family val="3"/>
        <charset val="129"/>
      </rPr>
      <t xml:space="preserve">사쿠라에비 (벚꽃새우) 튀김·덮밥
</t>
    </r>
    <r>
      <rPr>
        <sz val="10"/>
        <color rgb="FF000000"/>
        <rFont val="Pretendard SemiBold"/>
        <family val="3"/>
        <charset val="129"/>
      </rPr>
      <t>시라스 (잔멸치) 덮밥
오키쓰 (저녁): 숙소 식당 (쿠어 앤 호텔 스루가)</t>
    </r>
    <phoneticPr fontId="31" type="noConversion"/>
  </si>
  <si>
    <r>
      <t>하코네 고개</t>
    </r>
    <r>
      <rPr>
        <sz val="10"/>
        <color rgb="FF000000"/>
        <rFont val="Pretendard SemiBold"/>
        <family val="3"/>
        <charset val="129"/>
      </rPr>
      <t xml:space="preserve"> (맑으면 후지산), 야마나카성터 (와플 모양 해자)
</t>
    </r>
    <r>
      <rPr>
        <b/>
        <sz val="10"/>
        <color rgb="FFC00000"/>
        <rFont val="Pretendard SemiBold"/>
        <family val="3"/>
        <charset val="129"/>
      </rPr>
      <t>미시마 다이샤</t>
    </r>
    <r>
      <rPr>
        <sz val="10"/>
        <color rgb="FF000000"/>
        <rFont val="Pretendard SemiBold"/>
        <family val="3"/>
        <charset val="129"/>
      </rPr>
      <t>, 겐베가와 맑은 물 산책로
온천: 숙소 대욕장 (도미 인 미시마는 천연 온천)</t>
    </r>
    <phoneticPr fontId="31" type="noConversion"/>
  </si>
  <si>
    <r>
      <t>히다리 후지 신사</t>
    </r>
    <r>
      <rPr>
        <sz val="10"/>
        <color rgb="FF000000"/>
        <rFont val="Pretendard SemiBold"/>
        <family val="3"/>
        <charset val="129"/>
      </rPr>
      <t xml:space="preserve"> (도카이도에서 유일하게 후지산이 왼쪽에 보이는 곳)
후지강 다리 (후지산 전망), 유이 옛 거리, </t>
    </r>
    <r>
      <rPr>
        <b/>
        <sz val="10"/>
        <color rgb="FFC00000"/>
        <rFont val="Pretendard SemiBold"/>
        <family val="3"/>
        <charset val="129"/>
      </rPr>
      <t>삿타 고개</t>
    </r>
    <r>
      <rPr>
        <sz val="10"/>
        <color rgb="FF000000"/>
        <rFont val="Pretendard SemiBold"/>
        <family val="3"/>
        <charset val="129"/>
      </rPr>
      <t xml:space="preserve"> (후지산과 스루가만)</t>
    </r>
    <phoneticPr fontId="31" type="noConversion"/>
  </si>
  <si>
    <r>
      <t>세이켄지 (조선통신사 유적</t>
    </r>
    <r>
      <rPr>
        <sz val="10"/>
        <color rgb="FF000000"/>
        <rFont val="Pretendard SemiBold"/>
        <family val="3"/>
        <charset val="129"/>
      </rPr>
      <t xml:space="preserve">, 08:30~16:00, 숙소에서 약 1km), 오키쓰 옛 거리
</t>
    </r>
    <r>
      <rPr>
        <b/>
        <sz val="10"/>
        <color rgb="FFC00000"/>
        <rFont val="Pretendard SemiBold"/>
        <family val="3"/>
        <charset val="129"/>
      </rPr>
      <t>미호노마쓰바라</t>
    </r>
    <r>
      <rPr>
        <sz val="10"/>
        <color rgb="FF000000"/>
        <rFont val="Pretendard SemiBold"/>
        <family val="3"/>
        <charset val="129"/>
      </rPr>
      <t xml:space="preserve"> (선택, 버스)
온천: 숙소 온천·스파 (쿠어 앤 호텔 스루가)</t>
    </r>
    <phoneticPr fontId="31" type="noConversion"/>
  </si>
  <si>
    <r>
      <t xml:space="preserve">에지리 (시미즈) 옛 거리, </t>
    </r>
    <r>
      <rPr>
        <b/>
        <sz val="10"/>
        <color rgb="FFC00000"/>
        <rFont val="Pretendard SemiBold"/>
        <family val="3"/>
        <charset val="129"/>
      </rPr>
      <t>구사나기 일리총</t>
    </r>
    <r>
      <rPr>
        <sz val="10"/>
        <color rgb="FF000000"/>
        <rFont val="Pretendard SemiBold"/>
        <family val="3"/>
        <charset val="129"/>
      </rPr>
      <t xml:space="preserve"> 
(옛 도카이도), 구사나기 신사 (옛길에서 남쪽으로 약 1km), 슨푸성 공원 (도착 후)</t>
    </r>
    <phoneticPr fontId="31" type="noConversion"/>
  </si>
  <si>
    <r>
      <t>마리코 조지야</t>
    </r>
    <r>
      <rPr>
        <sz val="10"/>
        <color rgb="FF000000"/>
        <rFont val="Pretendard SemiBold"/>
        <family val="3"/>
        <charset val="129"/>
      </rPr>
      <t xml:space="preserve"> (1596년 창업, 히로시게 그림 속 가게, 점심), 
</t>
    </r>
    <r>
      <rPr>
        <b/>
        <sz val="10"/>
        <color rgb="FFC00000"/>
        <rFont val="Pretendard SemiBold"/>
        <family val="3"/>
        <charset val="129"/>
      </rPr>
      <t>우쓰노야 옛 고갯길</t>
    </r>
    <r>
      <rPr>
        <sz val="10"/>
        <color rgb="FF000000"/>
        <rFont val="Pretendard SemiBold"/>
        <family val="3"/>
        <charset val="129"/>
      </rPr>
      <t>, 오카베주쿠 옛 거리</t>
    </r>
    <phoneticPr fontId="31" type="noConversion"/>
  </si>
  <si>
    <r>
      <t>호라이교</t>
    </r>
    <r>
      <rPr>
        <sz val="10"/>
        <color rgb="FF000000"/>
        <rFont val="Pretendard SemiBold"/>
        <family val="3"/>
        <charset val="129"/>
      </rPr>
      <t xml:space="preserve"> (세계에서 가장 긴 목조 보도교, 897m)
</t>
    </r>
    <r>
      <rPr>
        <b/>
        <sz val="10"/>
        <color rgb="FFC00000"/>
        <rFont val="Pretendard SemiBold"/>
        <family val="3"/>
        <charset val="129"/>
      </rPr>
      <t>가나야 돌길</t>
    </r>
    <r>
      <rPr>
        <sz val="10"/>
        <color rgb="FF000000"/>
        <rFont val="Pretendard SemiBold"/>
        <family val="3"/>
        <charset val="129"/>
      </rPr>
      <t xml:space="preserve">, 마키노하라 차밭, 요나키이시 (밤에 우는 돌)
</t>
    </r>
    <r>
      <rPr>
        <b/>
        <sz val="10"/>
        <color rgb="FFC00000"/>
        <rFont val="Pretendard SemiBold"/>
        <family val="3"/>
        <charset val="129"/>
      </rPr>
      <t>가케가와성</t>
    </r>
    <r>
      <rPr>
        <sz val="10"/>
        <color rgb="FF000000"/>
        <rFont val="Pretendard SemiBold"/>
        <family val="3"/>
        <charset val="129"/>
      </rPr>
      <t xml:space="preserve"> (도착 후, 목조 복원 천수각·니노마루 고텐)</t>
    </r>
    <phoneticPr fontId="31" type="noConversion"/>
  </si>
  <si>
    <r>
      <t xml:space="preserve">마이사카 소나무 가로수길, </t>
    </r>
    <r>
      <rPr>
        <b/>
        <sz val="10"/>
        <color rgb="FFC00000"/>
        <rFont val="Pretendard SemiBold"/>
        <family val="3"/>
        <charset val="129"/>
      </rPr>
      <t>벤텐지마</t>
    </r>
    <r>
      <rPr>
        <sz val="10"/>
        <color rgb="FF000000"/>
        <rFont val="Pretendard SemiBold"/>
        <family val="3"/>
        <charset val="129"/>
      </rPr>
      <t xml:space="preserve"> (하마나호의 붉은 도리이)
</t>
    </r>
    <r>
      <rPr>
        <b/>
        <sz val="10"/>
        <color rgb="FFC00000"/>
        <rFont val="Pretendard SemiBold"/>
        <family val="3"/>
        <charset val="129"/>
      </rPr>
      <t>아라이 관소</t>
    </r>
    <r>
      <rPr>
        <sz val="10"/>
        <color rgb="FF000000"/>
        <rFont val="Pretendard SemiBold"/>
        <family val="3"/>
        <charset val="129"/>
      </rPr>
      <t xml:space="preserve"> (건물이 남은 유일한 관소), 하마나호 호숫가 숙소 (저녁 노을)</t>
    </r>
    <phoneticPr fontId="31" type="noConversion"/>
  </si>
  <si>
    <r>
      <t>간잔지 온천</t>
    </r>
    <r>
      <rPr>
        <sz val="10"/>
        <color rgb="FF000000"/>
        <rFont val="Pretendard SemiBold"/>
        <family val="3"/>
        <charset val="129"/>
      </rPr>
      <t xml:space="preserve"> (호숫가 온천 마을, 당일 입욕), 하마나호 유람선 등
가는 길: 와시즈역 → JR 하마마쓰역 (약 20분) → 버스 간잔지 온천 (약 50분)</t>
    </r>
    <phoneticPr fontId="31" type="noConversion"/>
  </si>
  <si>
    <r>
      <t xml:space="preserve">오전: </t>
    </r>
    <r>
      <rPr>
        <b/>
        <sz val="10"/>
        <color rgb="FFC00000"/>
        <rFont val="Pretendard SemiBold"/>
        <family val="3"/>
        <charset val="129"/>
      </rPr>
      <t>나고야성</t>
    </r>
    <r>
      <rPr>
        <sz val="10"/>
        <color rgb="FF000000"/>
        <rFont val="Pretendard SemiBold"/>
        <family val="3"/>
        <charset val="129"/>
      </rPr>
      <t xml:space="preserve"> (혼마루 궁전) → 구와나로 이동, 구와나 시치리노와타시 터
</t>
    </r>
    <r>
      <rPr>
        <b/>
        <sz val="10"/>
        <color rgb="FFC00000"/>
        <rFont val="Pretendard SemiBold"/>
        <family val="3"/>
        <charset val="129"/>
      </rPr>
      <t>나바나노사토 겨울 일루미네이션</t>
    </r>
    <r>
      <rPr>
        <sz val="10"/>
        <color rgb="FF000000"/>
        <rFont val="Pretendard SemiBold"/>
        <family val="3"/>
        <charset val="129"/>
      </rPr>
      <t xml:space="preserve"> (밤, 구와나 숙소로 돌아오기 쉬움)
온천: </t>
    </r>
    <r>
      <rPr>
        <b/>
        <sz val="10"/>
        <color rgb="FFC00000"/>
        <rFont val="Pretendard SemiBold"/>
        <family val="3"/>
        <charset val="129"/>
      </rPr>
      <t>나가시마 온천</t>
    </r>
    <r>
      <rPr>
        <sz val="10"/>
        <color rgb="FF000000"/>
        <rFont val="Pretendard SemiBold"/>
        <family val="3"/>
        <charset val="129"/>
      </rPr>
      <t xml:space="preserve"> '유아미노시마' (구와나역에서 버스)</t>
    </r>
    <phoneticPr fontId="31" type="noConversion"/>
  </si>
  <si>
    <r>
      <t xml:space="preserve">미나쿠치 옛 거리, 요코타 와타시 조야토 (옛 나루터 큰 등롱, 이시베)
</t>
    </r>
    <r>
      <rPr>
        <b/>
        <sz val="10"/>
        <color rgb="FFC00000"/>
        <rFont val="Pretendard SemiBold"/>
        <family val="3"/>
        <charset val="129"/>
      </rPr>
      <t>구사쓰주쿠 본진</t>
    </r>
    <r>
      <rPr>
        <sz val="10"/>
        <color rgb="FF000000"/>
        <rFont val="Pretendard SemiBold"/>
        <family val="3"/>
        <charset val="129"/>
      </rPr>
      <t xml:space="preserve"> (남은 본진 가운데 최대), 도카이도·나카센도 갈림길</t>
    </r>
    <phoneticPr fontId="31" type="noConversion"/>
  </si>
  <si>
    <r>
      <t>예비일</t>
    </r>
    <r>
      <rPr>
        <sz val="10"/>
        <color rgb="FF000000"/>
        <rFont val="Pretendard SemiBold"/>
        <family val="3"/>
        <charset val="129"/>
      </rPr>
      <t>: 비·부상으로 밀린 걷기를 이날로 메우기. 
안 쓰면 아라시야마 (도게쓰교·대나무숲·덴류지)나 긴카쿠지·철학의 길</t>
    </r>
    <phoneticPr fontId="31" type="noConversion"/>
  </si>
  <si>
    <r>
      <t xml:space="preserve">아리마 온천 거리 (유모토자카), 온천: </t>
    </r>
    <r>
      <rPr>
        <b/>
        <sz val="10"/>
        <color rgb="FFC00000"/>
        <rFont val="Pretendard SemiBold"/>
        <family val="3"/>
        <charset val="129"/>
      </rPr>
      <t xml:space="preserve">킨노유 (철분이 많은 적갈색 '금탕')
</t>
    </r>
    <r>
      <rPr>
        <sz val="10"/>
        <color rgb="FF000000"/>
        <rFont val="Pretendard SemiBold"/>
        <family val="3"/>
        <charset val="129"/>
      </rPr>
      <t xml:space="preserve">긴노유 (투명한 '은탕') - 두 곳 모두 </t>
    </r>
    <r>
      <rPr>
        <b/>
        <sz val="10"/>
        <color rgb="FFC00000"/>
        <rFont val="Pretendard SemiBold"/>
        <family val="3"/>
        <charset val="129"/>
      </rPr>
      <t>1월 1일 휴관</t>
    </r>
    <r>
      <rPr>
        <sz val="10"/>
        <color rgb="FF000000"/>
        <rFont val="Pretendard SemiBold"/>
        <family val="3"/>
        <charset val="129"/>
      </rPr>
      <t>이라 오늘(12/31) 다녀오기</t>
    </r>
    <phoneticPr fontId="31" type="noConversion"/>
  </si>
  <si>
    <r>
      <t xml:space="preserve">미시마역 주변 (미시마 다이샤 근처): </t>
    </r>
    <r>
      <rPr>
        <b/>
        <sz val="10"/>
        <color rgb="FFC00000"/>
        <rFont val="Pretendard SemiBold"/>
        <family val="3"/>
        <charset val="129"/>
      </rPr>
      <t>장어 덮밥</t>
    </r>
    <r>
      <rPr>
        <sz val="10"/>
        <color rgb="FF000000"/>
        <rFont val="Pretendard SemiBold"/>
        <family val="3"/>
        <charset val="129"/>
      </rPr>
      <t xml:space="preserve"> (후지산 용천수로 손질)
미시마 고로케</t>
    </r>
    <phoneticPr fontId="31" type="noConversion"/>
  </si>
  <si>
    <r>
      <t xml:space="preserve">누마즈항 (걷는 길에서 2km 벗어남): </t>
    </r>
    <r>
      <rPr>
        <b/>
        <sz val="10"/>
        <color rgb="FFC00000"/>
        <rFont val="Pretendard SemiBold"/>
        <family val="3"/>
        <charset val="129"/>
      </rPr>
      <t>해산물 덮밥</t>
    </r>
    <r>
      <rPr>
        <sz val="10"/>
        <color rgb="FF000000"/>
        <rFont val="Pretendard SemiBold"/>
        <family val="3"/>
        <charset val="129"/>
      </rPr>
      <t>, 전갱이 튀김·회
요시와라 상점가 (저녁, 숙소 마을): 후지 쓰케나폴리탄 (나폴리탄 스파게티)</t>
    </r>
    <phoneticPr fontId="31" type="noConversion"/>
  </si>
  <si>
    <r>
      <t xml:space="preserve">도요카와 이나리 주변 (걷는 길에서 버스·전철로 약 15분)
</t>
    </r>
    <r>
      <rPr>
        <b/>
        <sz val="10"/>
        <color rgb="FFC00000"/>
        <rFont val="Pretendard SemiBold"/>
        <family val="3"/>
        <charset val="129"/>
      </rPr>
      <t>: 이나리즈시</t>
    </r>
    <r>
      <rPr>
        <sz val="10"/>
        <color rgb="FF000000"/>
        <rFont val="Pretendard SemiBold"/>
        <family val="3"/>
        <charset val="129"/>
      </rPr>
      <t xml:space="preserve"> (유부초밥)</t>
    </r>
    <phoneticPr fontId="31" type="noConversion"/>
  </si>
  <si>
    <r>
      <t xml:space="preserve">하마마쓰: </t>
    </r>
    <r>
      <rPr>
        <b/>
        <sz val="10"/>
        <color rgb="FFC00000"/>
        <rFont val="Pretendard SemiBold"/>
        <family val="3"/>
        <charset val="129"/>
      </rPr>
      <t>피아노·악기</t>
    </r>
    <r>
      <rPr>
        <sz val="10"/>
        <color rgb="FF000000"/>
        <rFont val="Pretendard SemiBold"/>
        <family val="3"/>
        <charset val="129"/>
      </rPr>
      <t xml:space="preserve"> (야마하·가와이 본사)
오토바이 (스즈키·야마하·혼다가 시작된 곳)</t>
    </r>
    <phoneticPr fontId="31" type="noConversion"/>
  </si>
  <si>
    <t>교토: 쓰케모노 (절임 채소), 야쓰하시 (계피 떡과자)
기요미즈야키 (도자기), 니시진오리 (비단 직물)</t>
    <phoneticPr fontId="31" type="noConversion"/>
  </si>
  <si>
    <t>하코네: 요세기자이쿠 (나무 쪽매붙임 공예)
구로타마고 (오와쿠다니 검은 달걀)</t>
    <phoneticPr fontId="31" type="noConversion"/>
  </si>
  <si>
    <r>
      <t xml:space="preserve">요시와라주쿠는 쓰나미로 두 번 자리를 옮겼고, 그 때문에 길이 굽어 </t>
    </r>
    <r>
      <rPr>
        <b/>
        <sz val="10"/>
        <color rgb="FFC00000"/>
        <rFont val="Pretendard SemiBold"/>
        <family val="3"/>
        <charset val="129"/>
      </rPr>
      <t>이곳에서만 후지산이 왼쪽에 보입니다</t>
    </r>
    <r>
      <rPr>
        <sz val="10"/>
        <color rgb="FF000000"/>
        <rFont val="Pretendard SemiBold"/>
        <family val="3"/>
        <charset val="129"/>
      </rPr>
      <t xml:space="preserve">. 삿타 고개는 </t>
    </r>
    <r>
      <rPr>
        <b/>
        <sz val="10"/>
        <color rgb="FFC00000"/>
        <rFont val="Pretendard SemiBold"/>
        <family val="3"/>
        <charset val="129"/>
      </rPr>
      <t>히로시게의 그림 「도카이도 53역참」 속 풍경</t>
    </r>
    <r>
      <rPr>
        <sz val="10"/>
        <color rgb="FF000000"/>
        <rFont val="Pretendard SemiBold"/>
        <family val="3"/>
        <charset val="129"/>
      </rPr>
      <t>이 거의 그대로 남은 곳</t>
    </r>
    <phoneticPr fontId="31" type="noConversion"/>
  </si>
  <si>
    <r>
      <t xml:space="preserve">도카이도 53역참 가운데 </t>
    </r>
    <r>
      <rPr>
        <b/>
        <sz val="10"/>
        <color rgb="FFC00000"/>
        <rFont val="Pretendard SemiBold"/>
        <family val="3"/>
        <charset val="129"/>
      </rPr>
      <t>첫 번째 역참</t>
    </r>
    <r>
      <rPr>
        <sz val="10"/>
        <color rgb="FF000000"/>
        <rFont val="Pretendard SemiBold"/>
        <family val="3"/>
        <charset val="129"/>
      </rPr>
      <t>. 
에도를 떠나는 사람과 배웅하는 사람으로 붐비던 곳.</t>
    </r>
    <phoneticPr fontId="31" type="noConversion"/>
  </si>
  <si>
    <r>
      <t xml:space="preserve">1603년 도쿠가와 이에야스가 놓은 다리로, 도카이도를 비롯한 
</t>
    </r>
    <r>
      <rPr>
        <b/>
        <sz val="10"/>
        <color rgb="FFC00000"/>
        <rFont val="Pretendard SemiBold"/>
        <family val="3"/>
        <charset val="129"/>
      </rPr>
      <t>5가도의 출발점</t>
    </r>
    <r>
      <rPr>
        <sz val="10"/>
        <color rgb="FF000000"/>
        <rFont val="Pretendard SemiBold"/>
        <family val="3"/>
        <charset val="129"/>
      </rPr>
      <t>. 지금 돌다리는 1911년에 놓였습니다.</t>
    </r>
    <phoneticPr fontId="31" type="noConversion"/>
  </si>
  <si>
    <r>
      <t xml:space="preserve">전국시대 호조 가문의 본거지. 1590년 도요토미 히데요시가 
오다와라성을 함락시키며 </t>
    </r>
    <r>
      <rPr>
        <b/>
        <sz val="10"/>
        <color rgb="FFC00000"/>
        <rFont val="Pretendard SemiBold"/>
        <family val="3"/>
        <charset val="129"/>
      </rPr>
      <t>천하 통일을 마무리</t>
    </r>
    <r>
      <rPr>
        <sz val="10"/>
        <color rgb="FF000000"/>
        <rFont val="Pretendard SemiBold"/>
        <family val="3"/>
        <charset val="129"/>
      </rPr>
      <t>했습니다.</t>
    </r>
    <phoneticPr fontId="31" type="noConversion"/>
  </si>
  <si>
    <r>
      <t xml:space="preserve">돌길은 1680년 무렵 진흙길에 돌을 깔아 만든 길. 하코네 관소는 </t>
    </r>
    <r>
      <rPr>
        <b/>
        <sz val="10"/>
        <color rgb="FFC00000"/>
        <rFont val="Pretendard SemiBold"/>
        <family val="3"/>
        <charset val="129"/>
      </rPr>
      <t>에도로 들어오는 무기와 빠져나가는 다이묘 부인을 감시</t>
    </r>
    <r>
      <rPr>
        <sz val="10"/>
        <color rgb="FF000000"/>
        <rFont val="Pretendard SemiBold"/>
        <family val="3"/>
        <charset val="129"/>
      </rPr>
      <t>했습니다.</t>
    </r>
    <phoneticPr fontId="31" type="noConversion"/>
  </si>
  <si>
    <r>
      <t xml:space="preserve">오키쓰의 세이켄지는 조선통신사가 묵거나 들르던 절로, 통신사가 쓴 편액 7점이 남아 </t>
    </r>
    <r>
      <rPr>
        <b/>
        <sz val="10"/>
        <color rgb="FFC00000"/>
        <rFont val="Pretendard SemiBold"/>
        <family val="3"/>
        <charset val="129"/>
      </rPr>
      <t>'조선통신사 유적'으로 국가 사적</t>
    </r>
    <r>
      <rPr>
        <sz val="10"/>
        <color rgb="FF000000"/>
        <rFont val="Pretendard SemiBold"/>
        <family val="3"/>
        <charset val="129"/>
      </rPr>
      <t xml:space="preserve">에 지정. 미호노마쓰바라는 후지산 </t>
    </r>
    <r>
      <rPr>
        <b/>
        <sz val="10"/>
        <color rgb="FFC00000"/>
        <rFont val="Pretendard SemiBold"/>
        <family val="3"/>
        <charset val="129"/>
      </rPr>
      <t>세계문화유산</t>
    </r>
    <r>
      <rPr>
        <sz val="10"/>
        <color rgb="FF000000"/>
        <rFont val="Pretendard SemiBold"/>
        <family val="3"/>
        <charset val="129"/>
      </rPr>
      <t>의 구성 자산으로 등재된 소나무 해변</t>
    </r>
    <phoneticPr fontId="31" type="noConversion"/>
  </si>
  <si>
    <t>교통 이유: 시나가와~오이소 약 60km는 가와사키·요코하마 도심과 
국도 1호선 옆 길이 계속되어 볼거리가 적고 걷기 단조로움 (기차)
비올때: JR 도카이도선 니노미야·고즈·가모미야역에서 기차로 오다와라</t>
    <phoneticPr fontId="31" type="noConversion"/>
  </si>
  <si>
    <t>산길: +1시간, 결빙·폭설 시 플랜 B: 하코네 토잔 버스
비올때: 하코네 토잔 버스 (하코네유모토역 ↔ 하타주쿠·아마자케차야 ↔ 하코네마치)</t>
    <phoneticPr fontId="31" type="noConversion"/>
  </si>
  <si>
    <t>산길: +1간, 하코네 체크아웃
결빙·폭설 시 플랜 B: 버스로 미시마까지
비올때: 도카이 버스 (하코네 고개·야마나카성터 정류장 → 미시마역)</t>
    <phoneticPr fontId="31" type="noConversion"/>
  </si>
  <si>
    <t>미시마 체크아웃
비올때:JR 도카이도선 누마즈·가타하마·하라·히가시타고노우라·요시와라역</t>
    <phoneticPr fontId="31" type="noConversion"/>
  </si>
  <si>
    <t>교통 이유: 가케가와~하마마쓰 약 28km는 국도 1호선 옆 평탄한 시가지와 공장 지대라 볼거리가 적음, 
비 올 때: JR 도카이도선 다카쓰카·마이사카·벤텐지마·아라이마치·와시즈역</t>
    <phoneticPr fontId="31" type="noConversion"/>
  </si>
  <si>
    <t>시마다 체크아웃
비 올 때: JR 가나야역 (가나야 돌길 전), 닛사카에서는 가케가와역행 버스</t>
    <phoneticPr fontId="31" type="noConversion"/>
  </si>
  <si>
    <t>교통 이유: 도요하시 숙소에서 출발점(아카사카)으로 이동.
힘들 때·비 올 때: 메이테쓰 메이덴나가사와·모토주쿠·후지카와·히가시오카자키역</t>
    <phoneticPr fontId="31" type="noConversion"/>
  </si>
  <si>
    <t>교통 이유: 아침: 오카자키~지류 약 15km는 국도 1호선과 공장 지대 사이라 볼거리가 적어 전철로 건너뜀. 저녁: 아쓰타 신궁에서 나고야역 숙소로.
힘들 때·비 올 때: 메이테쓰 아리마쓰·나루미역 등에서 진구마에역</t>
    <phoneticPr fontId="31" type="noConversion"/>
  </si>
  <si>
    <t>나고야 체크아웃
크리스마스 이브. 오전에 나고야성, 오후부터 구와나에서 쉬기. 가고 싶은 곳만 고르세요.</t>
    <phoneticPr fontId="31" type="noConversion"/>
  </si>
  <si>
    <t>세키 입구의 칸데오 호텔에서 묵고, 다음 날 아침 세키주쿠 옛 거리를 지나 스즈카 고개로 갑니다.
세키주쿠 옛 거리는 다음 날 아침 숙소에서 걸어서 지나갑니다.
힘들 때·비 올 때: JR 간사이본선 가메야마·세키역</t>
    <phoneticPr fontId="31" type="noConversion"/>
  </si>
  <si>
    <t>산길: +1시간
힘들 때·비 올 때: 고개 구간은 탈출로가 거의 없음 → 비·눈 예보면 하루 미루거나, JR 세키→쓰게(간사이본선)→기부카와(구사쓰선)로 기차 우회</t>
    <phoneticPr fontId="31" type="noConversion"/>
  </si>
  <si>
    <t>교통 이유: 섣달그믐에 교토에서 아리마 온천으로 직행 고속버스(약 1시간 15분)로 이동해 새해 첫날까지 온천에서 보냅니다. 하루 2편뿐미리 예약, 만석이면 JR 경유(약 1시간 40분, 환승 3회).
섣달그믐. 연말연시 휴무 주의. 공공 온천은 1/1 휴관이라 오늘 다녀오기.</t>
    <phoneticPr fontId="31" type="noConversion"/>
  </si>
  <si>
    <t>교통 이유: 아리마 온천에서 비행 전날 오사카로 이동 (고속버스 약 1시간, 우메다 도착 후 지하철로 난바). 신세카이·도톤보리·오사카성은 이날 오후에 둘러봅니다.
오사카성 천수각은 12/28~1/1 휴관, 오늘(1/2)부터 개관. 연말연시 휴무가 1/3까지 이어지는 가게도 있으니 확인.</t>
    <phoneticPr fontId="31" type="noConversion"/>
  </si>
  <si>
    <t>하코네
(아시노호수)</t>
    <phoneticPr fontId="31" type="noConversion"/>
  </si>
  <si>
    <t>아리마 온천 → 오사카 우메다 (고속버스) 
우메다 → 난바 (지하철 미도스지선)</t>
    <phoneticPr fontId="31" type="noConversion"/>
  </si>
  <si>
    <t>결빙·폭설 예보가 있으면 이날을 예비일로 써서 
하루 늦게 고개를 넘어도 됨</t>
    <phoneticPr fontId="31" type="noConversion"/>
  </si>
  <si>
    <t>산길: +1시간
결빙·폭설 시 플랜 B: 버스로 미시마까지</t>
    <phoneticPr fontId="31" type="noConversion"/>
  </si>
  <si>
    <t>직행 고속버스 1,850엔 (JR 경유 시 1,830엔)
교토 체크아웃 · 아리마로 바로 이동</t>
    <phoneticPr fontId="31" type="noConversion"/>
  </si>
  <si>
    <t>일몰 
(도착지)</t>
    <phoneticPr fontId="31" type="noConversion"/>
  </si>
  <si>
    <t>아고다 검색 
(날짜 포함)</t>
    <phoneticPr fontId="31" type="noConversion"/>
  </si>
  <si>
    <t>시나가와슈쿠 게스트하우스, 60,178원/박
신반바역 573m, 옛 시나가와 역참 거리</t>
    <phoneticPr fontId="31" type="noConversion"/>
  </si>
  <si>
    <t>아우어즈 인 한,큐149,645원/박
오이마치역 106m (시나가와역에서 1정거장)</t>
    <phoneticPr fontId="31" type="noConversion"/>
  </si>
  <si>
    <t>토요코인 오다와라에키 히가시구치
76,555원/박, 오다와라역 324m
비즈니스 호텔, 아침 무료</t>
    <phoneticPr fontId="31" type="noConversion"/>
  </si>
  <si>
    <t>HOTEL POSH, 72,618원/박
오다와라역 271m, 호텔</t>
    <phoneticPr fontId="31" type="noConversion"/>
  </si>
  <si>
    <t>RoheN ASHINOKO, 45,511원/박
오시바 버스정류장 근처, 하코네 관소에서 약 1.4km (다인실 여부 확인)</t>
    <phoneticPr fontId="31" type="noConversion"/>
  </si>
  <si>
    <t>오다큐 호텔 데 야마 하코네 레이크사이드
193,503원/박 ★ 쉬는 날·온천 추천
아시노호수 호숫가, 관소에서 약 1.4km</t>
    <phoneticPr fontId="31" type="noConversion"/>
  </si>
  <si>
    <t>Hotel Gee Haive, 38,164원/박</t>
    <phoneticPr fontId="31" type="noConversion"/>
  </si>
  <si>
    <t>도미 인 미시마 핫 스프링, 101,402원/박
미시마역 근처, 천연 온천 대욕장</t>
    <phoneticPr fontId="31" type="noConversion"/>
  </si>
  <si>
    <t>호텔 니시무라 (Hotel Nishimura)
59,787원/박, 요시와라혼초역에서 약 1.2km</t>
    <phoneticPr fontId="31" type="noConversion"/>
  </si>
  <si>
    <t>쿠레타케 인 후지산, 56,050원/박
요시와라혼초역에서 약 0.9km</t>
    <phoneticPr fontId="31" type="noConversion"/>
  </si>
  <si>
    <t>쿠어 앤 호텔 스루가 (Kur and Hotel Suruga)
59,409원/박, 오키쓰역 근처, 세이켄지까지 약 1km, 온천·스파 호텔 (2박 기준 요금)</t>
    <phoneticPr fontId="31" type="noConversion"/>
  </si>
  <si>
    <t>Guest House NOMAYADO, 121,479원/박
유이 본진 공원 동쪽 약 1.9km (걷는 길 위)
대안: 지치면 유이에서 묵기</t>
    <phoneticPr fontId="31" type="noConversion"/>
  </si>
  <si>
    <t>KOKO 호텔 시즈오카
8.5점 · 후기 7,008건 · 46,209원/박
시즈오카역 약 800m</t>
    <phoneticPr fontId="31" type="noConversion"/>
  </si>
  <si>
    <t>호텔 가든 스퀘어 시즈오카,  58,411원/박
시즈오카역 약 400m</t>
    <phoneticPr fontId="31" type="noConversion"/>
  </si>
  <si>
    <t>호텔 슈퍼 도마리,  62,904원/박
후지에다역 약 400m</t>
    <phoneticPr fontId="31" type="noConversion"/>
  </si>
  <si>
    <t>호텔 루트인 시마다 에키마에, 57,928원/박
시마다역 약 400m, ★ 추천: 대욕장</t>
    <phoneticPr fontId="31" type="noConversion"/>
  </si>
  <si>
    <t xml:space="preserve">내추럴 핫 스프링 스파 도미 인 익스프레스 가케가와, 72,196원/박
가케가와역 약 550m, 천연 온천 대욕장 </t>
    <phoneticPr fontId="31" type="noConversion"/>
  </si>
  <si>
    <t>호텔 난반 하마나코· 요금: 확인
와시즈역 근처, 아라이 관소에서 약 3km</t>
    <phoneticPr fontId="31" type="noConversion"/>
  </si>
  <si>
    <t>Grand Inn Higashi-Okazaki, 65,709원
히가시오카자키역 169m, 비즈니스 호텔</t>
    <phoneticPr fontId="31" type="noConversion"/>
  </si>
  <si>
    <t>비아 인 나고야 에키마에 츠바키초
70,326원/박, 나고야역 약 300m
JR 서일본 계열 비즈니스 호텔</t>
    <phoneticPr fontId="31" type="noConversion"/>
  </si>
  <si>
    <t>호텔 라이브맥스 오카자키, 18,292원/박
히가시오카자키역 447m</t>
    <phoneticPr fontId="31" type="noConversion"/>
  </si>
  <si>
    <t>산코 인 구와나 에키마에, 50,916원/박
구와나역 약 200m, 나가시마 온천은 당일 입욕</t>
    <phoneticPr fontId="31" type="noConversion"/>
  </si>
  <si>
    <t>미나쿠치 센추리 호텔, 68,438원/박
미나쿠치이시바시역 860m 시내 중심</t>
    <phoneticPr fontId="31" type="noConversion"/>
  </si>
  <si>
    <t>호텔 보스턴 플라자 구사쓰 비와코
53,055원/박, 구사쓰역 107m
역 바로 옆, 가성비</t>
    <phoneticPr fontId="31" type="noConversion"/>
  </si>
  <si>
    <t>르 락 호텔 오쓰 이시야마, 77,897원/박
게이한 이시야마역 127m, 세타 가라하시 약 750m</t>
    <phoneticPr fontId="31" type="noConversion"/>
  </si>
  <si>
    <t>소테츠 프레사 인 교토-기요미즈 고조 
요금: 확인, 게이한 기요미즈고조역 근처, 산조오하시에서 약 1.6km</t>
    <phoneticPr fontId="31" type="noConversion"/>
  </si>
  <si>
    <t>Brücke Arima KOBE, 64,536원/박
아리마온센역 889m
게스트하우스형, 새해에도 비교적 저렴</t>
    <phoneticPr fontId="31" type="noConversion"/>
  </si>
  <si>
    <t>APA 호텔 난바 미나미 에비스초 에키 신세카이
69,733원/박, 에비스초역 19m 비즈니스 호텔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</si>
</sst>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km&quot;"/>
    <numFmt numFmtId="177" formatCode="[h]:mm"/>
    <numFmt numFmtId="178" formatCode="0.0"/>
  </numFmts>
  <fonts count="52">
    <font>
      <sz val="11"/>
      <color theme="1"/>
      <name val="Calibri"/>
      <family val="2"/>
      <charset val="1"/>
    </font>
    <font>
      <sz val="10"/>
      <name val="Pretendard"/>
      <family val="3"/>
      <charset val="129"/>
    </font>
    <font>
      <sz val="10"/>
      <name val="Noto Sans CJK SC"/>
      <family val="2"/>
    </font>
    <font>
      <b/>
      <sz val="10"/>
      <color rgb="FF1B5E20"/>
      <name val="Noto Sans CJK SC"/>
      <family val="2"/>
    </font>
    <font>
      <sz val="10"/>
      <color rgb="FF000000"/>
      <name val="Noto Sans CJK SC"/>
      <family val="2"/>
    </font>
    <font>
      <b/>
      <sz val="14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Pretendard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Pretendard"/>
      <family val="3"/>
      <charset val="129"/>
    </font>
    <font>
      <b/>
      <u/>
      <sz val="10"/>
      <color rgb="FF0563C1"/>
      <name val="Noto Sans CJK SC"/>
      <family val="2"/>
    </font>
    <font>
      <sz val="9"/>
      <color rgb="FF808080"/>
      <name val="Pretendard"/>
      <family val="3"/>
      <charset val="129"/>
    </font>
    <font>
      <b/>
      <sz val="16"/>
      <name val="Pretendard SemiBold"/>
      <family val="3"/>
      <charset val="129"/>
    </font>
    <font>
      <sz val="11"/>
      <color theme="1"/>
      <name val="Pretendard SemiBold"/>
      <family val="3"/>
      <charset val="129"/>
    </font>
    <font>
      <sz val="10"/>
      <color rgb="FF595959"/>
      <name val="Pretendard SemiBold"/>
      <family val="3"/>
      <charset val="129"/>
    </font>
    <font>
      <b/>
      <sz val="9"/>
      <color rgb="FFFFFFFF"/>
      <name val="Pretendard SemiBold"/>
      <family val="3"/>
      <charset val="129"/>
    </font>
    <font>
      <sz val="10"/>
      <name val="Pretendard SemiBold"/>
      <family val="3"/>
      <charset val="129"/>
    </font>
    <font>
      <b/>
      <sz val="10"/>
      <color rgb="FFE65100"/>
      <name val="Pretendard SemiBold"/>
      <family val="3"/>
      <charset val="129"/>
    </font>
    <font>
      <b/>
      <sz val="10"/>
      <color rgb="FF1B5E20"/>
      <name val="Pretendard SemiBold"/>
      <family val="3"/>
      <charset val="129"/>
    </font>
    <font>
      <sz val="10"/>
      <color rgb="FF0070C0"/>
      <name val="Pretendard SemiBold"/>
      <family val="3"/>
      <charset val="129"/>
    </font>
    <font>
      <sz val="10"/>
      <color rgb="FF000000"/>
      <name val="Pretendard SemiBold"/>
      <family val="3"/>
      <charset val="129"/>
    </font>
    <font>
      <b/>
      <sz val="10"/>
      <color rgb="FFC00000"/>
      <name val="Pretendard SemiBold"/>
      <family val="3"/>
      <charset val="129"/>
    </font>
    <font>
      <i/>
      <sz val="10"/>
      <color rgb="FFC65911"/>
      <name val="Pretendard SemiBold"/>
      <family val="3"/>
      <charset val="129"/>
    </font>
    <font>
      <b/>
      <u/>
      <sz val="10"/>
      <color rgb="FF0563C1"/>
      <name val="Pretendard SemiBold"/>
      <family val="3"/>
      <charset val="129"/>
    </font>
    <font>
      <b/>
      <u/>
      <sz val="10"/>
      <color rgb="FFC00000"/>
      <name val="Pretendard SemiBold"/>
      <family val="3"/>
      <charset val="129"/>
    </font>
    <font>
      <b/>
      <sz val="10"/>
      <name val="Pretendard SemiBold"/>
      <family val="3"/>
      <charset val="129"/>
    </font>
    <font>
      <b/>
      <sz val="9"/>
      <name val="Pretendard SemiBold"/>
      <family val="3"/>
      <charset val="129"/>
    </font>
    <font>
      <b/>
      <sz val="9"/>
      <color rgb="FF1B5E20"/>
      <name val="Pretendard SemiBold"/>
      <family val="3"/>
      <charset val="129"/>
    </font>
    <font>
      <b/>
      <sz val="9"/>
      <color rgb="FF0070C0"/>
      <name val="Pretendard SemiBold"/>
      <family val="3"/>
      <charset val="129"/>
    </font>
    <font>
      <b/>
      <sz val="9"/>
      <color rgb="FF000000"/>
      <name val="Pretendard SemiBold"/>
      <family val="3"/>
      <charset val="129"/>
    </font>
    <font>
      <sz val="9"/>
      <color rgb="FF595959"/>
      <name val="Pretendard SemiBold"/>
      <family val="3"/>
      <charset val="129"/>
    </font>
    <font>
      <sz val="8"/>
      <name val="돋움"/>
      <family val="3"/>
      <charset val="129"/>
    </font>
    <font>
      <b/>
      <sz val="14"/>
      <name val="Pretendard SemiBold"/>
      <family val="3"/>
      <charset val="129"/>
    </font>
    <font>
      <b/>
      <sz val="11"/>
      <name val="Pretendard SemiBold"/>
      <family val="3"/>
      <charset val="129"/>
    </font>
    <font>
      <b/>
      <sz val="11"/>
      <color rgb="FF0000FF"/>
      <name val="Pretendard SemiBold"/>
      <family val="3"/>
      <charset val="129"/>
    </font>
    <font>
      <i/>
      <sz val="11"/>
      <color rgb="FF595959"/>
      <name val="Pretendard SemiBold"/>
      <family val="3"/>
      <charset val="129"/>
    </font>
    <font>
      <b/>
      <sz val="11"/>
      <color rgb="FFFFFFFF"/>
      <name val="Pretendard SemiBold"/>
      <family val="3"/>
      <charset val="129"/>
    </font>
    <font>
      <b/>
      <sz val="12"/>
      <name val="Pretendard SemiBold"/>
      <family val="3"/>
      <charset val="129"/>
    </font>
    <font>
      <b/>
      <sz val="11"/>
      <color rgb="FF1B5E20"/>
      <name val="Pretendard SemiBold"/>
      <family val="3"/>
      <charset val="129"/>
    </font>
    <font>
      <b/>
      <sz val="11"/>
      <color rgb="FF0070C0"/>
      <name val="Pretendard SemiBold"/>
      <family val="3"/>
      <charset val="129"/>
    </font>
    <font>
      <b/>
      <sz val="11"/>
      <color rgb="FF000000"/>
      <name val="Pretendard SemiBold"/>
      <family val="3"/>
      <charset val="129"/>
    </font>
    <font>
      <sz val="11"/>
      <color rgb="FF595959"/>
      <name val="Pretendard SemiBold"/>
      <family val="3"/>
      <charset val="129"/>
    </font>
    <font>
      <sz val="10"/>
      <color rgb="FF00B050"/>
      <name val="Pretendard SemiBold"/>
      <family val="3"/>
      <charset val="129"/>
    </font>
    <font>
      <sz val="10"/>
      <color rgb="FFFF0000"/>
      <name val="Pretendard SemiBold"/>
      <family val="3"/>
      <charset val="129"/>
    </font>
    <font>
      <sz val="10"/>
      <color rgb="FFFFFFFF"/>
      <name val="Pretendard SemiBold"/>
      <family val="3"/>
      <charset val="129"/>
    </font>
    <font>
      <sz val="10"/>
      <color theme="1"/>
      <name val="Pretendard SemiBold"/>
      <family val="3"/>
      <charset val="129"/>
    </font>
    <font>
      <sz val="10"/>
      <color rgb="FF1B5E20"/>
      <name val="Pretendard SemiBold"/>
      <family val="3"/>
      <charset val="129"/>
    </font>
    <font>
      <u/>
      <sz val="10"/>
      <color rgb="FF0563C1"/>
      <name val="Pretendard SemiBold"/>
      <family val="3"/>
      <charset val="129"/>
    </font>
    <font>
      <sz val="10"/>
      <color rgb="FF808080"/>
      <name val="Pretendard SemiBold"/>
      <family val="3"/>
      <charset val="129"/>
    </font>
    <font>
      <u/>
      <sz val="10"/>
      <color rgb="FF1B5E20"/>
      <name val="Pretendard SemiBold"/>
      <family val="3"/>
      <charset val="129"/>
    </font>
    <font>
      <sz val="10"/>
      <color rgb="FFE65100"/>
      <name val="Pretendard SemiBold"/>
      <family val="3"/>
      <charset val="129"/>
    </font>
    <font>
      <sz val="10"/>
      <color rgb="FFC00000"/>
      <name val="Pretendard SemiBold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37474F"/>
      </patternFill>
    </fill>
    <fill>
      <patternFill patternType="solid">
        <fgColor rgb="FF1B5E20"/>
        <bgColor rgb="FF37474F"/>
      </patternFill>
    </fill>
    <fill>
      <patternFill patternType="solid">
        <fgColor rgb="FFC00000"/>
        <bgColor rgb="FF9C0006"/>
      </patternFill>
    </fill>
    <fill>
      <patternFill patternType="solid">
        <fgColor rgb="FFE65100"/>
        <bgColor rgb="FFC65911"/>
      </patternFill>
    </fill>
    <fill>
      <patternFill patternType="solid">
        <fgColor rgb="FF8D6E63"/>
        <bgColor rgb="FF808080"/>
      </patternFill>
    </fill>
    <fill>
      <patternFill patternType="solid">
        <fgColor rgb="FFC65911"/>
        <bgColor rgb="FFE65100"/>
      </patternFill>
    </fill>
    <fill>
      <patternFill patternType="solid">
        <fgColor rgb="FF7030A0"/>
        <bgColor rgb="FF6A1B9A"/>
      </patternFill>
    </fill>
    <fill>
      <patternFill patternType="solid">
        <fgColor rgb="FF5D4037"/>
        <bgColor rgb="FF595959"/>
      </patternFill>
    </fill>
    <fill>
      <patternFill patternType="solid">
        <fgColor rgb="FF37474F"/>
        <bgColor rgb="FF455A64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563C1"/>
      </patternFill>
    </fill>
    <fill>
      <patternFill patternType="solid">
        <fgColor rgb="FF6A1B9A"/>
        <bgColor rgb="FF7030A0"/>
      </patternFill>
    </fill>
    <fill>
      <patternFill patternType="solid">
        <fgColor rgb="FF455A64"/>
        <bgColor rgb="FF595959"/>
      </patternFill>
    </fill>
    <fill>
      <patternFill patternType="solid">
        <fgColor rgb="FF0563C1"/>
        <bgColor rgb="FF0070C0"/>
      </patternFill>
    </fill>
    <fill>
      <patternFill patternType="solid">
        <fgColor rgb="FF595959"/>
        <bgColor rgb="FF455A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7474F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16" fillId="11" borderId="1" xfId="0" applyFont="1" applyFill="1" applyBorder="1" applyAlignment="1">
      <alignment horizontal="center" vertical="center" wrapText="1"/>
    </xf>
    <xf numFmtId="176" fontId="16" fillId="11" borderId="1" xfId="0" applyNumberFormat="1" applyFont="1" applyFill="1" applyBorder="1" applyAlignment="1">
      <alignment horizontal="center" vertical="center" wrapText="1"/>
    </xf>
    <xf numFmtId="20" fontId="16" fillId="11" borderId="1" xfId="0" applyNumberFormat="1" applyFont="1" applyFill="1" applyBorder="1" applyAlignment="1">
      <alignment horizontal="center" vertical="center" wrapText="1"/>
    </xf>
    <xf numFmtId="177" fontId="17" fillId="11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176" fontId="16" fillId="12" borderId="1" xfId="0" applyNumberFormat="1" applyFont="1" applyFill="1" applyBorder="1" applyAlignment="1">
      <alignment horizontal="center" vertical="center" wrapText="1"/>
    </xf>
    <xf numFmtId="20" fontId="16" fillId="12" borderId="1" xfId="0" applyNumberFormat="1" applyFont="1" applyFill="1" applyBorder="1" applyAlignment="1">
      <alignment horizontal="center" vertical="center" wrapText="1"/>
    </xf>
    <xf numFmtId="177" fontId="17" fillId="12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176" fontId="23" fillId="13" borderId="1" xfId="0" applyNumberFormat="1" applyFont="1" applyFill="1" applyBorder="1" applyAlignment="1">
      <alignment horizontal="center" vertical="center" wrapText="1"/>
    </xf>
    <xf numFmtId="20" fontId="16" fillId="13" borderId="1" xfId="0" applyNumberFormat="1" applyFont="1" applyFill="1" applyBorder="1" applyAlignment="1">
      <alignment horizontal="center" vertical="center" wrapText="1"/>
    </xf>
    <xf numFmtId="177" fontId="17" fillId="13" borderId="1" xfId="0" applyNumberFormat="1" applyFont="1" applyFill="1" applyBorder="1" applyAlignment="1">
      <alignment horizontal="center" vertical="center" wrapText="1"/>
    </xf>
    <xf numFmtId="176" fontId="24" fillId="13" borderId="1" xfId="0" applyNumberFormat="1" applyFont="1" applyFill="1" applyBorder="1" applyAlignment="1">
      <alignment horizontal="center" vertical="center" wrapText="1"/>
    </xf>
    <xf numFmtId="20" fontId="21" fillId="13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2" xfId="0" applyFont="1" applyBorder="1"/>
    <xf numFmtId="1" fontId="27" fillId="0" borderId="1" xfId="0" applyNumberFormat="1" applyFont="1" applyBorder="1" applyAlignment="1">
      <alignment horizontal="center"/>
    </xf>
    <xf numFmtId="178" fontId="27" fillId="0" borderId="1" xfId="0" applyNumberFormat="1" applyFont="1" applyBorder="1" applyAlignment="1">
      <alignment horizontal="center"/>
    </xf>
    <xf numFmtId="20" fontId="27" fillId="0" borderId="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center"/>
    </xf>
    <xf numFmtId="178" fontId="28" fillId="0" borderId="1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4" fillId="14" borderId="0" xfId="0" applyFont="1" applyFill="1"/>
    <xf numFmtId="0" fontId="36" fillId="2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37" fillId="0" borderId="0" xfId="0" applyFont="1"/>
    <xf numFmtId="0" fontId="33" fillId="0" borderId="2" xfId="0" applyFont="1" applyBorder="1"/>
    <xf numFmtId="1" fontId="38" fillId="0" borderId="1" xfId="0" applyNumberFormat="1" applyFont="1" applyBorder="1" applyAlignment="1">
      <alignment horizontal="center"/>
    </xf>
    <xf numFmtId="178" fontId="38" fillId="0" borderId="1" xfId="0" applyNumberFormat="1" applyFont="1" applyBorder="1" applyAlignment="1">
      <alignment horizontal="center"/>
    </xf>
    <xf numFmtId="20" fontId="38" fillId="0" borderId="1" xfId="0" applyNumberFormat="1" applyFont="1" applyBorder="1" applyAlignment="1">
      <alignment horizontal="center"/>
    </xf>
    <xf numFmtId="1" fontId="39" fillId="0" borderId="1" xfId="0" applyNumberFormat="1" applyFont="1" applyBorder="1" applyAlignment="1">
      <alignment horizontal="center"/>
    </xf>
    <xf numFmtId="178" fontId="39" fillId="0" borderId="1" xfId="0" applyNumberFormat="1" applyFont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0" fontId="40" fillId="0" borderId="0" xfId="0" applyFont="1"/>
    <xf numFmtId="0" fontId="41" fillId="0" borderId="0" xfId="0" applyFont="1"/>
    <xf numFmtId="0" fontId="42" fillId="20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6" fillId="19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3" fillId="12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3" fillId="21" borderId="0" xfId="0" applyFont="1" applyFill="1" applyBorder="1"/>
    <xf numFmtId="0" fontId="15" fillId="22" borderId="0" xfId="0" applyFont="1" applyFill="1" applyBorder="1" applyAlignment="1">
      <alignment horizontal="center" vertical="center" wrapText="1"/>
    </xf>
    <xf numFmtId="0" fontId="19" fillId="21" borderId="0" xfId="0" applyFont="1" applyFill="1" applyBorder="1" applyAlignment="1">
      <alignment horizontal="left" vertical="center" wrapText="1"/>
    </xf>
    <xf numFmtId="0" fontId="22" fillId="21" borderId="0" xfId="0" applyFont="1" applyFill="1" applyBorder="1" applyAlignment="1">
      <alignment horizontal="left" vertical="center" wrapText="1"/>
    </xf>
    <xf numFmtId="0" fontId="18" fillId="21" borderId="0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16" fillId="12" borderId="6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43" fillId="11" borderId="9" xfId="0" applyFont="1" applyFill="1" applyBorder="1" applyAlignment="1">
      <alignment horizontal="center" vertical="center" wrapText="1"/>
    </xf>
    <xf numFmtId="176" fontId="16" fillId="11" borderId="9" xfId="0" applyNumberFormat="1" applyFont="1" applyFill="1" applyBorder="1" applyAlignment="1">
      <alignment horizontal="center" vertical="center" wrapText="1"/>
    </xf>
    <xf numFmtId="20" fontId="16" fillId="11" borderId="9" xfId="0" applyNumberFormat="1" applyFont="1" applyFill="1" applyBorder="1" applyAlignment="1">
      <alignment horizontal="center" vertical="center" wrapText="1"/>
    </xf>
    <xf numFmtId="177" fontId="17" fillId="11" borderId="9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11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16" fillId="12" borderId="11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1" borderId="17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42" fillId="14" borderId="1" xfId="0" applyFont="1" applyFill="1" applyBorder="1" applyAlignment="1">
      <alignment vertical="center" wrapText="1"/>
    </xf>
    <xf numFmtId="0" fontId="45" fillId="0" borderId="0" xfId="0" applyFont="1"/>
    <xf numFmtId="0" fontId="20" fillId="11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178" fontId="46" fillId="0" borderId="1" xfId="0" applyNumberFormat="1" applyFont="1" applyBorder="1" applyAlignment="1">
      <alignment horizontal="center" vertical="center" wrapText="1"/>
    </xf>
    <xf numFmtId="20" fontId="46" fillId="0" borderId="1" xfId="0" applyNumberFormat="1" applyFont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/>
    <xf numFmtId="0" fontId="16" fillId="0" borderId="1" xfId="0" applyFont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center" wrapText="1"/>
    </xf>
    <xf numFmtId="20" fontId="20" fillId="14" borderId="1" xfId="0" applyNumberFormat="1" applyFont="1" applyFill="1" applyBorder="1" applyAlignment="1">
      <alignment horizontal="center" vertical="center"/>
    </xf>
    <xf numFmtId="20" fontId="20" fillId="0" borderId="1" xfId="0" applyNumberFormat="1" applyFont="1" applyBorder="1" applyAlignment="1">
      <alignment horizontal="center" vertical="center"/>
    </xf>
    <xf numFmtId="20" fontId="50" fillId="0" borderId="1" xfId="0" applyNumberFormat="1" applyFont="1" applyBorder="1" applyAlignment="1">
      <alignment horizontal="center" vertical="center"/>
    </xf>
    <xf numFmtId="177" fontId="50" fillId="0" borderId="1" xfId="0" applyNumberFormat="1" applyFont="1" applyBorder="1" applyAlignment="1">
      <alignment horizontal="center" vertical="center"/>
    </xf>
    <xf numFmtId="178" fontId="51" fillId="0" borderId="1" xfId="0" applyNumberFormat="1" applyFont="1" applyBorder="1" applyAlignment="1">
      <alignment horizontal="center" vertical="center" wrapText="1"/>
    </xf>
    <xf numFmtId="20" fontId="51" fillId="14" borderId="1" xfId="0" applyNumberFormat="1" applyFont="1" applyFill="1" applyBorder="1" applyAlignment="1">
      <alignment horizontal="center" vertical="center"/>
    </xf>
    <xf numFmtId="20" fontId="51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44" fillId="2" borderId="3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4" borderId="4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16" borderId="4" xfId="0" applyFont="1" applyFill="1" applyBorder="1" applyAlignment="1">
      <alignment horizontal="center" vertical="center" wrapText="1"/>
    </xf>
    <xf numFmtId="0" fontId="44" fillId="16" borderId="5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 wrapText="1"/>
    </xf>
    <xf numFmtId="0" fontId="48" fillId="0" borderId="7" xfId="0" applyFont="1" applyBorder="1" applyAlignment="1">
      <alignment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center" wrapText="1"/>
    </xf>
    <xf numFmtId="0" fontId="20" fillId="11" borderId="9" xfId="0" applyFont="1" applyFill="1" applyBorder="1" applyAlignment="1">
      <alignment horizontal="center" vertical="center" wrapText="1"/>
    </xf>
    <xf numFmtId="0" fontId="46" fillId="0" borderId="9" xfId="0" applyFont="1" applyBorder="1" applyAlignment="1">
      <alignment horizontal="left" vertical="center" wrapText="1"/>
    </xf>
    <xf numFmtId="178" fontId="46" fillId="0" borderId="9" xfId="0" applyNumberFormat="1" applyFont="1" applyBorder="1" applyAlignment="1">
      <alignment horizontal="center" vertical="center" wrapText="1"/>
    </xf>
    <xf numFmtId="20" fontId="46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178" fontId="19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3" fontId="19" fillId="0" borderId="9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/>
    </xf>
    <xf numFmtId="0" fontId="45" fillId="0" borderId="9" xfId="0" applyFont="1" applyBorder="1"/>
    <xf numFmtId="0" fontId="48" fillId="0" borderId="9" xfId="0" applyFont="1" applyBorder="1" applyAlignment="1">
      <alignment vertical="center" wrapText="1"/>
    </xf>
    <xf numFmtId="0" fontId="48" fillId="0" borderId="10" xfId="0" applyFont="1" applyBorder="1" applyAlignment="1">
      <alignment vertical="center" wrapText="1"/>
    </xf>
  </cellXfs>
  <cellStyles count="1">
    <cellStyle name="표준" xfId="0" builtinId="0"/>
  </cellStyles>
  <dxfs count="2">
    <dxf>
      <font>
        <b/>
        <color rgb="FF9C0006"/>
        <name val="Pretendard"/>
        <charset val="1"/>
      </font>
      <fill>
        <patternFill>
          <bgColor rgb="FFFFC7CE"/>
        </patternFill>
      </fill>
    </dxf>
    <dxf>
      <font>
        <b/>
        <color rgb="FF9C0006"/>
        <name val="Pretendard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8D6E63"/>
      <rgbColor rgb="FF6A1B9A"/>
      <rgbColor rgb="FF0070C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65100"/>
      <rgbColor rgb="FF595959"/>
      <rgbColor rgb="FFA6A6A6"/>
      <rgbColor rgb="FF455A64"/>
      <rgbColor rgb="FF00B050"/>
      <rgbColor rgb="FF003300"/>
      <rgbColor rgb="FF5D4037"/>
      <rgbColor rgb="FFC65911"/>
      <rgbColor rgb="FF993366"/>
      <rgbColor rgb="FF1F4E78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goda.com/ko-kr/search?area=557984&amp;checkIn=2026-12-14&amp;los=1&amp;rooms=1&amp;adults=1&amp;children=0&amp;priceCur=KRW&amp;sort=reviewAll" TargetMode="External"/><Relationship Id="rId13" Type="http://schemas.openxmlformats.org/officeDocument/2006/relationships/hyperlink" Target="https://www.agoda.com/ko-kr/search?city=106210&amp;checkIn=2026-12-21&amp;los=1&amp;rooms=1&amp;adults=1&amp;children=0&amp;priceCur=KRW&amp;sort=reviewAll" TargetMode="External"/><Relationship Id="rId18" Type="http://schemas.openxmlformats.org/officeDocument/2006/relationships/hyperlink" Target="https://www.agoda.com/ko-kr/search?city=251141&amp;checkIn=2026-12-26&amp;los=1&amp;rooms=1&amp;adults=1&amp;children=0&amp;priceCur=KRW&amp;sort=reviewAll" TargetMode="External"/><Relationship Id="rId3" Type="http://schemas.openxmlformats.org/officeDocument/2006/relationships/hyperlink" Target="https://www.agoda.com/ko-kr/search?city=79849&amp;checkIn=2026-12-07&amp;los=2&amp;rooms=1&amp;adults=1&amp;children=0&amp;priceCur=KRW&amp;sort=reviewAll" TargetMode="External"/><Relationship Id="rId21" Type="http://schemas.openxmlformats.org/officeDocument/2006/relationships/hyperlink" Target="https://www.agoda.com/ko-kr/search?area=481595&amp;checkIn=2026-12-31&amp;los=2&amp;rooms=1&amp;adults=1&amp;children=0&amp;priceCur=KRW&amp;sort=reviewAll" TargetMode="External"/><Relationship Id="rId7" Type="http://schemas.openxmlformats.org/officeDocument/2006/relationships/hyperlink" Target="https://www.agoda.com/ko-kr/search?city=57&amp;checkIn=2026-12-13&amp;los=1&amp;rooms=1&amp;adults=1&amp;children=0&amp;priceCur=KRW&amp;sort=reviewAll" TargetMode="External"/><Relationship Id="rId12" Type="http://schemas.openxmlformats.org/officeDocument/2006/relationships/hyperlink" Target="https://www.agoda.com/ko-kr/search?area=616492&amp;checkIn=2026-12-19&amp;los=2&amp;rooms=1&amp;adults=1&amp;children=0&amp;priceCur=KRW&amp;sort=reviewAll" TargetMode="External"/><Relationship Id="rId17" Type="http://schemas.openxmlformats.org/officeDocument/2006/relationships/hyperlink" Target="https://www.agoda.com/ko-kr/search?city=250793&amp;checkIn=2026-12-25&amp;los=1&amp;rooms=1&amp;adults=1&amp;children=0&amp;priceCur=KRW&amp;sort=reviewAll" TargetMode="External"/><Relationship Id="rId2" Type="http://schemas.openxmlformats.org/officeDocument/2006/relationships/hyperlink" Target="https://www.agoda.com/ko-kr/search?area=36857&amp;checkIn=2026-12-06&amp;los=1&amp;rooms=1&amp;adults=1&amp;children=0&amp;priceCur=KRW&amp;sort=reviewAll" TargetMode="External"/><Relationship Id="rId16" Type="http://schemas.openxmlformats.org/officeDocument/2006/relationships/hyperlink" Target="https://www.agoda.com/ko-kr/search?city=107509&amp;checkIn=2026-12-24&amp;los=1&amp;rooms=1&amp;adults=1&amp;children=0&amp;priceCur=KRW&amp;sort=reviewAll" TargetMode="External"/><Relationship Id="rId20" Type="http://schemas.openxmlformats.org/officeDocument/2006/relationships/hyperlink" Target="https://www.agoda.com/ko-kr/search?area=564901&amp;checkIn=2026-12-28&amp;los=3&amp;rooms=1&amp;adults=1&amp;children=0&amp;priceCur=KRW&amp;sort=reviewAll" TargetMode="External"/><Relationship Id="rId1" Type="http://schemas.openxmlformats.org/officeDocument/2006/relationships/hyperlink" Target="https://www.agoda.com/ko-kr/search?area=31079&amp;checkIn=2026-12-04&amp;los=2&amp;rooms=1&amp;adults=1&amp;children=0&amp;priceCur=KRW&amp;sort=reviewAll" TargetMode="External"/><Relationship Id="rId6" Type="http://schemas.openxmlformats.org/officeDocument/2006/relationships/hyperlink" Target="https://www.agoda.com/ko-kr/search?area=483045&amp;checkIn=2026-12-11&amp;los=2&amp;rooms=1&amp;adults=1&amp;children=0&amp;priceCur=KRW&amp;sort=reviewAll" TargetMode="External"/><Relationship Id="rId11" Type="http://schemas.openxmlformats.org/officeDocument/2006/relationships/hyperlink" Target="https://www.agoda.com/ko-kr/search?city=108342&amp;checkIn=2026-12-17&amp;los=2&amp;rooms=1&amp;adults=1&amp;children=0&amp;priceCur=KRW&amp;sort=reviewAll" TargetMode="External"/><Relationship Id="rId5" Type="http://schemas.openxmlformats.org/officeDocument/2006/relationships/hyperlink" Target="https://www.agoda.com/ko-kr/search?city=108333&amp;checkIn=2026-12-10&amp;los=1&amp;rooms=1&amp;adults=1&amp;children=0&amp;priceCur=KRW&amp;sort=reviewAll" TargetMode="External"/><Relationship Id="rId15" Type="http://schemas.openxmlformats.org/officeDocument/2006/relationships/hyperlink" Target="https://www.agoda.com/ko-kr/search?city=107487&amp;checkIn=2026-12-23&amp;los=1&amp;rooms=1&amp;adults=1&amp;children=0&amp;priceCur=KRW&amp;sort=reviewAll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agoda.com/ko-kr/search?area=564272&amp;checkIn=2026-12-16&amp;los=1&amp;rooms=1&amp;adults=1&amp;children=0&amp;priceCur=KRW&amp;sort=reviewAll" TargetMode="External"/><Relationship Id="rId19" Type="http://schemas.openxmlformats.org/officeDocument/2006/relationships/hyperlink" Target="https://www.agoda.com/ko-kr/search?city=108285&amp;checkIn=2026-12-27&amp;los=1&amp;rooms=1&amp;adults=1&amp;children=0&amp;priceCur=KRW&amp;sort=reviewAll" TargetMode="External"/><Relationship Id="rId4" Type="http://schemas.openxmlformats.org/officeDocument/2006/relationships/hyperlink" Target="https://www.agoda.com/ko-kr/search?area=564282&amp;checkIn=2026-12-09&amp;los=1&amp;rooms=1&amp;adults=1&amp;children=0&amp;priceCur=KRW&amp;sort=reviewAll" TargetMode="External"/><Relationship Id="rId9" Type="http://schemas.openxmlformats.org/officeDocument/2006/relationships/hyperlink" Target="https://www.agoda.com/ko-kr/search?area=557996&amp;checkIn=2026-12-15&amp;los=1&amp;rooms=1&amp;adults=1&amp;children=0&amp;priceCur=KRW&amp;sort=reviewAll" TargetMode="External"/><Relationship Id="rId14" Type="http://schemas.openxmlformats.org/officeDocument/2006/relationships/hyperlink" Target="https://www.agoda.com/ko-kr/search?area=31076&amp;checkIn=2026-12-22&amp;los=1&amp;rooms=1&amp;adults=1&amp;children=0&amp;priceCur=KRW&amp;sort=reviewAll" TargetMode="External"/><Relationship Id="rId22" Type="http://schemas.openxmlformats.org/officeDocument/2006/relationships/hyperlink" Target="https://www.agoda.com/ko-kr/search?area=9590&amp;checkIn=2027-01-02&amp;los=1&amp;rooms=1&amp;adults=1&amp;children=0&amp;priceCur=KRW&amp;sort=review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2"/>
  <sheetViews>
    <sheetView zoomScale="85" zoomScaleNormal="85" workbookViewId="0">
      <selection activeCell="E7" sqref="E7"/>
    </sheetView>
  </sheetViews>
  <sheetFormatPr defaultColWidth="8.6640625" defaultRowHeight="13.8"/>
  <cols>
    <col min="1" max="1" width="3.44140625" style="14" customWidth="1"/>
    <col min="2" max="2" width="6.77734375" style="14" customWidth="1"/>
    <col min="3" max="3" width="4.5546875" style="14" customWidth="1"/>
    <col min="4" max="4" width="12" style="14" customWidth="1"/>
    <col min="5" max="5" width="14.5546875" style="14" customWidth="1"/>
    <col min="6" max="6" width="7" style="14" customWidth="1"/>
    <col min="7" max="7" width="13.88671875" style="14" bestFit="1" customWidth="1"/>
    <col min="8" max="8" width="9.5546875" style="14" customWidth="1"/>
    <col min="9" max="12" width="9" style="14" customWidth="1"/>
    <col min="13" max="13" width="22.44140625" style="73" bestFit="1" customWidth="1"/>
    <col min="14" max="14" width="24" style="14" customWidth="1"/>
    <col min="15" max="15" width="63.109375" style="14" customWidth="1"/>
    <col min="16" max="17" width="5.33203125" style="75" customWidth="1"/>
    <col min="18" max="18" width="7.5546875" style="75" customWidth="1"/>
    <col min="19" max="20" width="15.33203125" style="75" customWidth="1"/>
    <col min="21" max="21" width="65.77734375" style="14" customWidth="1"/>
    <col min="22" max="22" width="58.5546875" style="14" customWidth="1"/>
    <col min="23" max="23" width="55.5546875" style="14" customWidth="1"/>
    <col min="24" max="25" width="46" style="14" customWidth="1"/>
    <col min="26" max="26" width="55.21875" style="14" customWidth="1"/>
    <col min="27" max="16384" width="8.6640625" style="14"/>
  </cols>
  <sheetData>
    <row r="1" spans="1:26" ht="21">
      <c r="A1" s="102" t="s">
        <v>432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26">
      <c r="A2" s="103" t="s">
        <v>433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26" ht="14.4" thickBot="1">
      <c r="A3" s="15"/>
    </row>
    <row r="4" spans="1:26" ht="36" customHeight="1">
      <c r="A4" s="80" t="s">
        <v>0</v>
      </c>
      <c r="B4" s="81" t="s">
        <v>1</v>
      </c>
      <c r="C4" s="81" t="s">
        <v>2</v>
      </c>
      <c r="D4" s="81" t="s">
        <v>3</v>
      </c>
      <c r="E4" s="81" t="s">
        <v>4</v>
      </c>
      <c r="F4" s="81" t="s">
        <v>5</v>
      </c>
      <c r="G4" s="81" t="s">
        <v>6</v>
      </c>
      <c r="H4" s="82" t="s">
        <v>968</v>
      </c>
      <c r="I4" s="82" t="s">
        <v>7</v>
      </c>
      <c r="J4" s="83" t="s">
        <v>434</v>
      </c>
      <c r="K4" s="83" t="s">
        <v>435</v>
      </c>
      <c r="L4" s="84" t="s">
        <v>939</v>
      </c>
      <c r="M4" s="81" t="s">
        <v>9</v>
      </c>
      <c r="N4" s="85" t="s">
        <v>943</v>
      </c>
      <c r="O4" s="86" t="s">
        <v>436</v>
      </c>
      <c r="P4" s="76"/>
      <c r="Q4" s="110" t="s">
        <v>0</v>
      </c>
      <c r="R4" s="111" t="s">
        <v>1</v>
      </c>
      <c r="S4" s="111" t="s">
        <v>3</v>
      </c>
      <c r="T4" s="111" t="s">
        <v>4</v>
      </c>
      <c r="U4" s="111" t="s">
        <v>437</v>
      </c>
      <c r="V4" s="112" t="s">
        <v>10</v>
      </c>
      <c r="W4" s="113" t="s">
        <v>438</v>
      </c>
      <c r="X4" s="114" t="s">
        <v>11</v>
      </c>
      <c r="Y4" s="115" t="s">
        <v>439</v>
      </c>
      <c r="Z4" s="116" t="s">
        <v>12</v>
      </c>
    </row>
    <row r="5" spans="1:26" ht="49.95" customHeight="1">
      <c r="A5" s="87">
        <v>1</v>
      </c>
      <c r="B5" s="16" t="s">
        <v>13</v>
      </c>
      <c r="C5" s="16" t="s">
        <v>14</v>
      </c>
      <c r="D5" s="16" t="s">
        <v>15</v>
      </c>
      <c r="E5" s="16" t="s">
        <v>16</v>
      </c>
      <c r="F5" s="16" t="s">
        <v>440</v>
      </c>
      <c r="G5" s="16" t="s">
        <v>17</v>
      </c>
      <c r="H5" s="17" t="str">
        <f>IF('이동 상세'!H6="","",'이동 상세'!H6)</f>
        <v/>
      </c>
      <c r="I5" s="18" t="str">
        <f>IF('이동 상세'!H6="","",'이동 상세'!I6)</f>
        <v/>
      </c>
      <c r="J5" s="18" t="str">
        <f>IF('이동 상세'!P6="","",'이동 상세'!P6)</f>
        <v/>
      </c>
      <c r="K5" s="18" t="str">
        <f>IF('이동 상세'!Q6="","",'이동 상세'!Q6)</f>
        <v/>
      </c>
      <c r="L5" s="19" t="str">
        <f>IF('이동 상세'!S6="","",'이동 상세'!S6)</f>
        <v/>
      </c>
      <c r="M5" s="74" t="s">
        <v>18</v>
      </c>
      <c r="N5" s="21" t="s">
        <v>441</v>
      </c>
      <c r="O5" s="88" t="s">
        <v>442</v>
      </c>
      <c r="P5" s="77"/>
      <c r="Q5" s="117">
        <v>1</v>
      </c>
      <c r="R5" s="104" t="s">
        <v>13</v>
      </c>
      <c r="S5" s="104" t="s">
        <v>15</v>
      </c>
      <c r="T5" s="104" t="s">
        <v>16</v>
      </c>
      <c r="U5" s="105" t="s">
        <v>19</v>
      </c>
      <c r="V5" s="105"/>
      <c r="W5" s="105"/>
      <c r="X5" s="106" t="s">
        <v>990</v>
      </c>
      <c r="Y5" s="106" t="s">
        <v>443</v>
      </c>
      <c r="Z5" s="118" t="s">
        <v>444</v>
      </c>
    </row>
    <row r="6" spans="1:26" ht="49.95" customHeight="1">
      <c r="A6" s="89">
        <v>2</v>
      </c>
      <c r="B6" s="24" t="s">
        <v>20</v>
      </c>
      <c r="C6" s="70" t="s">
        <v>21</v>
      </c>
      <c r="D6" s="24" t="s">
        <v>15</v>
      </c>
      <c r="E6" s="24" t="s">
        <v>16</v>
      </c>
      <c r="F6" s="24" t="s">
        <v>22</v>
      </c>
      <c r="G6" s="24" t="s">
        <v>23</v>
      </c>
      <c r="H6" s="25" t="str">
        <f>IF('이동 상세'!H7="","",'이동 상세'!H7)</f>
        <v/>
      </c>
      <c r="I6" s="26" t="str">
        <f>IF('이동 상세'!H7="","",'이동 상세'!I7)</f>
        <v/>
      </c>
      <c r="J6" s="26" t="str">
        <f>IF('이동 상세'!P7="","",'이동 상세'!P7)</f>
        <v/>
      </c>
      <c r="K6" s="26" t="str">
        <f>IF('이동 상세'!Q7="","",'이동 상세'!Q7)</f>
        <v/>
      </c>
      <c r="L6" s="27" t="str">
        <f>IF('이동 상세'!S7="","",'이동 상세'!S7)</f>
        <v/>
      </c>
      <c r="M6" s="74" t="s">
        <v>922</v>
      </c>
      <c r="N6" s="20"/>
      <c r="O6" s="90" t="s">
        <v>445</v>
      </c>
      <c r="P6" s="78"/>
      <c r="Q6" s="119">
        <v>2</v>
      </c>
      <c r="R6" s="107" t="s">
        <v>20</v>
      </c>
      <c r="S6" s="107" t="s">
        <v>15</v>
      </c>
      <c r="T6" s="107" t="s">
        <v>16</v>
      </c>
      <c r="U6" s="108" t="s">
        <v>446</v>
      </c>
      <c r="V6" s="106" t="s">
        <v>447</v>
      </c>
      <c r="W6" s="105" t="s">
        <v>448</v>
      </c>
      <c r="X6" s="106" t="s">
        <v>991</v>
      </c>
      <c r="Y6" s="105" t="s">
        <v>449</v>
      </c>
      <c r="Z6" s="118" t="s">
        <v>450</v>
      </c>
    </row>
    <row r="7" spans="1:26" ht="49.95" customHeight="1">
      <c r="A7" s="91">
        <v>3</v>
      </c>
      <c r="B7" s="29" t="s">
        <v>24</v>
      </c>
      <c r="C7" s="71" t="s">
        <v>25</v>
      </c>
      <c r="D7" s="29" t="s">
        <v>451</v>
      </c>
      <c r="E7" s="29" t="s">
        <v>26</v>
      </c>
      <c r="F7" s="29" t="s">
        <v>452</v>
      </c>
      <c r="G7" s="29" t="s">
        <v>453</v>
      </c>
      <c r="H7" s="30">
        <f>IF('이동 상세'!H8="","",HYPERLINK('경로 좌표'!N6,'이동 상세'!H8))</f>
        <v>16.899999999999999</v>
      </c>
      <c r="I7" s="31">
        <f>IF('이동 상세'!H8="","",'이동 상세'!I8)</f>
        <v>0.17604166666666665</v>
      </c>
      <c r="J7" s="31">
        <f>IF('이동 상세'!P8="","",'이동 상세'!P8)</f>
        <v>0.35416666666666702</v>
      </c>
      <c r="K7" s="31">
        <f>IF('이동 상세'!Q8="","",'이동 상세'!Q8)</f>
        <v>0.57187500000000024</v>
      </c>
      <c r="L7" s="32">
        <f>IF('이동 상세'!S8="","",'이동 상세'!S8)</f>
        <v>0.11623499999999976</v>
      </c>
      <c r="M7" s="74" t="s">
        <v>27</v>
      </c>
      <c r="N7" s="21" t="s">
        <v>940</v>
      </c>
      <c r="O7" s="88" t="s">
        <v>952</v>
      </c>
      <c r="P7" s="77"/>
      <c r="Q7" s="120">
        <v>3</v>
      </c>
      <c r="R7" s="109" t="s">
        <v>24</v>
      </c>
      <c r="S7" s="109" t="s">
        <v>451</v>
      </c>
      <c r="T7" s="109" t="s">
        <v>26</v>
      </c>
      <c r="U7" s="106" t="s">
        <v>454</v>
      </c>
      <c r="V7" s="106" t="s">
        <v>455</v>
      </c>
      <c r="W7" s="105" t="s">
        <v>456</v>
      </c>
      <c r="X7" s="106" t="s">
        <v>992</v>
      </c>
      <c r="Y7" s="105" t="s">
        <v>457</v>
      </c>
      <c r="Z7" s="118" t="s">
        <v>995</v>
      </c>
    </row>
    <row r="8" spans="1:26" ht="49.95" customHeight="1">
      <c r="A8" s="91">
        <v>4</v>
      </c>
      <c r="B8" s="29" t="s">
        <v>28</v>
      </c>
      <c r="C8" s="29" t="s">
        <v>29</v>
      </c>
      <c r="D8" s="29" t="s">
        <v>451</v>
      </c>
      <c r="E8" s="29" t="s">
        <v>959</v>
      </c>
      <c r="F8" s="29" t="s">
        <v>440</v>
      </c>
      <c r="G8" s="29" t="s">
        <v>30</v>
      </c>
      <c r="H8" s="33">
        <f>IF('이동 상세'!H9="","",HYPERLINK('경로 좌표'!N7,'이동 상세'!H9))</f>
        <v>16.899999999999999</v>
      </c>
      <c r="I8" s="34">
        <f>IF('이동 상세'!H9="","",'이동 상세'!I9)</f>
        <v>0.17604166666666665</v>
      </c>
      <c r="J8" s="34">
        <f>IF('이동 상세'!P9="","",'이동 상세'!P9)</f>
        <v>0.33333333333333298</v>
      </c>
      <c r="K8" s="34">
        <f>IF('이동 상세'!Q9="","",'이동 상세'!Q9)</f>
        <v>0.57187499999999969</v>
      </c>
      <c r="L8" s="32">
        <f>IF('이동 상세'!S9="","",'이동 상세'!S9)</f>
        <v>0.11668500000000026</v>
      </c>
      <c r="M8" s="74" t="s">
        <v>31</v>
      </c>
      <c r="N8" s="21" t="s">
        <v>458</v>
      </c>
      <c r="O8" s="92" t="s">
        <v>459</v>
      </c>
      <c r="P8" s="79"/>
      <c r="Q8" s="120">
        <v>4</v>
      </c>
      <c r="R8" s="109" t="s">
        <v>28</v>
      </c>
      <c r="S8" s="109" t="s">
        <v>451</v>
      </c>
      <c r="T8" s="109" t="s">
        <v>958</v>
      </c>
      <c r="U8" s="108" t="s">
        <v>969</v>
      </c>
      <c r="V8" s="106" t="s">
        <v>460</v>
      </c>
      <c r="W8" s="106" t="s">
        <v>461</v>
      </c>
      <c r="X8" s="106" t="s">
        <v>993</v>
      </c>
      <c r="Y8" s="106" t="s">
        <v>462</v>
      </c>
      <c r="Z8" s="118" t="s">
        <v>996</v>
      </c>
    </row>
    <row r="9" spans="1:26" ht="49.95" customHeight="1">
      <c r="A9" s="89">
        <v>5</v>
      </c>
      <c r="B9" s="24" t="s">
        <v>32</v>
      </c>
      <c r="C9" s="24" t="s">
        <v>33</v>
      </c>
      <c r="D9" s="24" t="s">
        <v>451</v>
      </c>
      <c r="E9" s="24" t="s">
        <v>959</v>
      </c>
      <c r="F9" s="24" t="s">
        <v>22</v>
      </c>
      <c r="G9" s="24" t="s">
        <v>34</v>
      </c>
      <c r="H9" s="25" t="str">
        <f>IF('이동 상세'!H10="","",'이동 상세'!H10)</f>
        <v/>
      </c>
      <c r="I9" s="26" t="str">
        <f>IF('이동 상세'!H10="","",'이동 상세'!I10)</f>
        <v/>
      </c>
      <c r="J9" s="26" t="str">
        <f>IF('이동 상세'!P10="","",'이동 상세'!P10)</f>
        <v/>
      </c>
      <c r="K9" s="26" t="str">
        <f>IF('이동 상세'!Q10="","",'이동 상세'!Q10)</f>
        <v/>
      </c>
      <c r="L9" s="27" t="str">
        <f>IF('이동 상세'!S10="","",'이동 상세'!S10)</f>
        <v/>
      </c>
      <c r="M9" s="74" t="s">
        <v>923</v>
      </c>
      <c r="N9" s="20"/>
      <c r="O9" s="90" t="s">
        <v>463</v>
      </c>
      <c r="P9" s="78"/>
      <c r="Q9" s="119">
        <v>5</v>
      </c>
      <c r="R9" s="107" t="s">
        <v>32</v>
      </c>
      <c r="S9" s="107" t="s">
        <v>451</v>
      </c>
      <c r="T9" s="107" t="s">
        <v>958</v>
      </c>
      <c r="U9" s="106" t="s">
        <v>464</v>
      </c>
      <c r="V9" s="106" t="s">
        <v>465</v>
      </c>
      <c r="W9" s="105" t="s">
        <v>988</v>
      </c>
      <c r="X9" s="106" t="s">
        <v>466</v>
      </c>
      <c r="Y9" s="105" t="s">
        <v>467</v>
      </c>
      <c r="Z9" s="118" t="s">
        <v>468</v>
      </c>
    </row>
    <row r="10" spans="1:26" ht="49.95" customHeight="1">
      <c r="A10" s="91">
        <v>6</v>
      </c>
      <c r="B10" s="29" t="s">
        <v>35</v>
      </c>
      <c r="C10" s="29" t="s">
        <v>36</v>
      </c>
      <c r="D10" s="29" t="s">
        <v>451</v>
      </c>
      <c r="E10" s="29" t="s">
        <v>37</v>
      </c>
      <c r="F10" s="29" t="s">
        <v>452</v>
      </c>
      <c r="G10" s="29" t="s">
        <v>30</v>
      </c>
      <c r="H10" s="33">
        <f>IF('이동 상세'!H11="","",HYPERLINK('경로 좌표'!N8,'이동 상세'!H11))</f>
        <v>18.399999999999999</v>
      </c>
      <c r="I10" s="34">
        <f>IF('이동 상세'!H11="","",'이동 상세'!I11)</f>
        <v>0.19166666666666665</v>
      </c>
      <c r="J10" s="34">
        <f>IF('이동 상세'!P11="","",'이동 상세'!P11)</f>
        <v>0.33333333333333298</v>
      </c>
      <c r="K10" s="34">
        <f>IF('이동 상세'!Q11="","",'이동 상세'!Q11)</f>
        <v>0.58749999999999969</v>
      </c>
      <c r="L10" s="32">
        <f>IF('이동 상세'!S11="","",'이동 상세'!S11)</f>
        <v>0.10165000000000035</v>
      </c>
      <c r="M10" s="74" t="s">
        <v>38</v>
      </c>
      <c r="N10" s="21" t="s">
        <v>469</v>
      </c>
      <c r="O10" s="92" t="s">
        <v>470</v>
      </c>
      <c r="P10" s="79"/>
      <c r="Q10" s="120">
        <v>6</v>
      </c>
      <c r="R10" s="109" t="s">
        <v>35</v>
      </c>
      <c r="S10" s="109" t="s">
        <v>451</v>
      </c>
      <c r="T10" s="109" t="s">
        <v>37</v>
      </c>
      <c r="U10" s="108" t="s">
        <v>971</v>
      </c>
      <c r="V10" s="106" t="s">
        <v>983</v>
      </c>
      <c r="W10" s="105" t="s">
        <v>471</v>
      </c>
      <c r="X10" s="106" t="s">
        <v>472</v>
      </c>
      <c r="Y10" s="106" t="s">
        <v>473</v>
      </c>
      <c r="Z10" s="118" t="s">
        <v>997</v>
      </c>
    </row>
    <row r="11" spans="1:26" ht="49.95" customHeight="1">
      <c r="A11" s="91">
        <v>7</v>
      </c>
      <c r="B11" s="29" t="s">
        <v>39</v>
      </c>
      <c r="C11" s="29" t="s">
        <v>40</v>
      </c>
      <c r="D11" s="29" t="s">
        <v>451</v>
      </c>
      <c r="E11" s="29" t="s">
        <v>41</v>
      </c>
      <c r="F11" s="29" t="s">
        <v>452</v>
      </c>
      <c r="G11" s="29" t="s">
        <v>30</v>
      </c>
      <c r="H11" s="33">
        <f>IF('이동 상세'!H12="","",HYPERLINK('경로 좌표'!N9,'이동 상세'!H12))</f>
        <v>26.3</v>
      </c>
      <c r="I11" s="34">
        <f>IF('이동 상세'!H12="","",'이동 상세'!I12)</f>
        <v>0.27395833333333336</v>
      </c>
      <c r="J11" s="34">
        <f>IF('이동 상세'!P12="","",'이동 상세'!P12)</f>
        <v>0.29166666666666702</v>
      </c>
      <c r="K11" s="34">
        <f>IF('이동 상세'!Q12="","",'이동 상세'!Q12)</f>
        <v>0.60729166666666701</v>
      </c>
      <c r="L11" s="32">
        <f>IF('이동 상세'!S12="","",'이동 상세'!S12)</f>
        <v>8.2518333333333027E-2</v>
      </c>
      <c r="M11" s="74" t="s">
        <v>474</v>
      </c>
      <c r="N11" s="21" t="s">
        <v>475</v>
      </c>
      <c r="O11" s="92" t="s">
        <v>476</v>
      </c>
      <c r="P11" s="79"/>
      <c r="Q11" s="120">
        <v>7</v>
      </c>
      <c r="R11" s="109" t="s">
        <v>39</v>
      </c>
      <c r="S11" s="109" t="s">
        <v>451</v>
      </c>
      <c r="T11" s="109" t="s">
        <v>41</v>
      </c>
      <c r="U11" s="108" t="s">
        <v>477</v>
      </c>
      <c r="V11" s="106" t="s">
        <v>984</v>
      </c>
      <c r="W11" s="105" t="s">
        <v>478</v>
      </c>
      <c r="X11" s="105" t="s">
        <v>479</v>
      </c>
      <c r="Y11" s="106" t="s">
        <v>480</v>
      </c>
      <c r="Z11" s="118" t="s">
        <v>998</v>
      </c>
    </row>
    <row r="12" spans="1:26" ht="49.95" customHeight="1">
      <c r="A12" s="91">
        <v>8</v>
      </c>
      <c r="B12" s="29" t="s">
        <v>42</v>
      </c>
      <c r="C12" s="29" t="s">
        <v>14</v>
      </c>
      <c r="D12" s="29" t="s">
        <v>451</v>
      </c>
      <c r="E12" s="29" t="s">
        <v>43</v>
      </c>
      <c r="F12" s="29" t="s">
        <v>440</v>
      </c>
      <c r="G12" s="29" t="s">
        <v>30</v>
      </c>
      <c r="H12" s="33">
        <f>IF('이동 상세'!H13="","",HYPERLINK('경로 좌표'!N10,'이동 상세'!H13))</f>
        <v>21.5</v>
      </c>
      <c r="I12" s="34">
        <f>IF('이동 상세'!H13="","",'이동 상세'!I13)</f>
        <v>0.22395833333333334</v>
      </c>
      <c r="J12" s="34">
        <f>IF('이동 상세'!P13="","",'이동 상세'!P13)</f>
        <v>0.33333333333333298</v>
      </c>
      <c r="K12" s="34">
        <f>IF('이동 상세'!Q13="","",'이동 상세'!Q13)</f>
        <v>0.6197916666666663</v>
      </c>
      <c r="L12" s="32">
        <f>IF('이동 상세'!S13="","",'이동 상세'!S13)</f>
        <v>7.0718333333333661E-2</v>
      </c>
      <c r="M12" s="74" t="s">
        <v>924</v>
      </c>
      <c r="N12" s="21" t="s">
        <v>481</v>
      </c>
      <c r="O12" s="92" t="s">
        <v>482</v>
      </c>
      <c r="P12" s="79"/>
      <c r="Q12" s="120">
        <v>8</v>
      </c>
      <c r="R12" s="109" t="s">
        <v>42</v>
      </c>
      <c r="S12" s="109" t="s">
        <v>451</v>
      </c>
      <c r="T12" s="109" t="s">
        <v>43</v>
      </c>
      <c r="U12" s="108" t="s">
        <v>972</v>
      </c>
      <c r="V12" s="106" t="s">
        <v>970</v>
      </c>
      <c r="W12" s="105" t="s">
        <v>483</v>
      </c>
      <c r="X12" s="106" t="s">
        <v>989</v>
      </c>
      <c r="Y12" s="105" t="s">
        <v>484</v>
      </c>
      <c r="Z12" s="118" t="s">
        <v>485</v>
      </c>
    </row>
    <row r="13" spans="1:26" ht="49.95" customHeight="1">
      <c r="A13" s="89">
        <v>9</v>
      </c>
      <c r="B13" s="24" t="s">
        <v>44</v>
      </c>
      <c r="C13" s="70" t="s">
        <v>21</v>
      </c>
      <c r="D13" s="24" t="s">
        <v>45</v>
      </c>
      <c r="E13" s="24" t="s">
        <v>43</v>
      </c>
      <c r="F13" s="24" t="s">
        <v>22</v>
      </c>
      <c r="G13" s="24" t="s">
        <v>34</v>
      </c>
      <c r="H13" s="25" t="str">
        <f>IF('이동 상세'!H14="","",'이동 상세'!H14)</f>
        <v/>
      </c>
      <c r="I13" s="26" t="str">
        <f>IF('이동 상세'!H14="","",'이동 상세'!I14)</f>
        <v/>
      </c>
      <c r="J13" s="26" t="str">
        <f>IF('이동 상세'!P14="","",'이동 상세'!P14)</f>
        <v/>
      </c>
      <c r="K13" s="26" t="str">
        <f>IF('이동 상세'!Q14="","",'이동 상세'!Q14)</f>
        <v/>
      </c>
      <c r="L13" s="27" t="str">
        <f>IF('이동 상세'!S14="","",'이동 상세'!S14)</f>
        <v/>
      </c>
      <c r="M13" s="74" t="s">
        <v>925</v>
      </c>
      <c r="N13" s="20"/>
      <c r="O13" s="90" t="s">
        <v>944</v>
      </c>
      <c r="P13" s="78"/>
      <c r="Q13" s="119">
        <v>9</v>
      </c>
      <c r="R13" s="107" t="s">
        <v>44</v>
      </c>
      <c r="S13" s="107" t="s">
        <v>45</v>
      </c>
      <c r="T13" s="107" t="s">
        <v>43</v>
      </c>
      <c r="U13" s="108" t="s">
        <v>973</v>
      </c>
      <c r="V13" s="105" t="s">
        <v>486</v>
      </c>
      <c r="W13" s="105" t="s">
        <v>487</v>
      </c>
      <c r="X13" s="106" t="s">
        <v>994</v>
      </c>
      <c r="Y13" s="106" t="s">
        <v>488</v>
      </c>
      <c r="Z13" s="118" t="s">
        <v>489</v>
      </c>
    </row>
    <row r="14" spans="1:26" ht="49.95" customHeight="1">
      <c r="A14" s="91">
        <v>10</v>
      </c>
      <c r="B14" s="29" t="s">
        <v>46</v>
      </c>
      <c r="C14" s="71" t="s">
        <v>25</v>
      </c>
      <c r="D14" s="29" t="s">
        <v>45</v>
      </c>
      <c r="E14" s="29" t="s">
        <v>45</v>
      </c>
      <c r="F14" s="29" t="s">
        <v>452</v>
      </c>
      <c r="G14" s="29" t="s">
        <v>30</v>
      </c>
      <c r="H14" s="30">
        <f>IF('이동 상세'!H15="","",HYPERLINK('경로 좌표'!N11,'이동 상세'!H15))</f>
        <v>19.100000000000001</v>
      </c>
      <c r="I14" s="31">
        <f>IF('이동 상세'!H15="","",'이동 상세'!I15)</f>
        <v>0.19895833333333335</v>
      </c>
      <c r="J14" s="31">
        <f>IF('이동 상세'!P15="","",'이동 상세'!P15)</f>
        <v>0.35416666666666702</v>
      </c>
      <c r="K14" s="31">
        <f>IF('이동 상세'!Q15="","",'이동 상세'!Q15)</f>
        <v>0.59479166666666694</v>
      </c>
      <c r="L14" s="32">
        <f>IF('이동 상세'!S15="","",'이동 상세'!S15)</f>
        <v>9.655833333333308E-2</v>
      </c>
      <c r="M14" s="74" t="s">
        <v>938</v>
      </c>
      <c r="N14" s="21" t="s">
        <v>490</v>
      </c>
      <c r="O14" s="92" t="s">
        <v>491</v>
      </c>
      <c r="P14" s="79"/>
      <c r="Q14" s="120">
        <v>10</v>
      </c>
      <c r="R14" s="109" t="s">
        <v>46</v>
      </c>
      <c r="S14" s="109" t="s">
        <v>45</v>
      </c>
      <c r="T14" s="109" t="s">
        <v>45</v>
      </c>
      <c r="U14" s="106" t="s">
        <v>974</v>
      </c>
      <c r="V14" s="106" t="s">
        <v>492</v>
      </c>
      <c r="W14" s="105" t="s">
        <v>493</v>
      </c>
      <c r="X14" s="106" t="s">
        <v>494</v>
      </c>
      <c r="Y14" s="105" t="s">
        <v>495</v>
      </c>
      <c r="Z14" s="118" t="s">
        <v>496</v>
      </c>
    </row>
    <row r="15" spans="1:26" ht="49.95" customHeight="1">
      <c r="A15" s="91">
        <v>11</v>
      </c>
      <c r="B15" s="29" t="s">
        <v>47</v>
      </c>
      <c r="C15" s="29" t="s">
        <v>29</v>
      </c>
      <c r="D15" s="29" t="s">
        <v>45</v>
      </c>
      <c r="E15" s="29" t="s">
        <v>48</v>
      </c>
      <c r="F15" s="29" t="s">
        <v>452</v>
      </c>
      <c r="G15" s="29" t="s">
        <v>30</v>
      </c>
      <c r="H15" s="33">
        <f>IF('이동 상세'!H16="","",HYPERLINK('경로 좌표'!N12,'이동 상세'!H16))</f>
        <v>23.2</v>
      </c>
      <c r="I15" s="34">
        <f>IF('이동 상세'!H16="","",'이동 상세'!I16)</f>
        <v>0.24166666666666667</v>
      </c>
      <c r="J15" s="34">
        <f>IF('이동 상세'!P16="","",'이동 상세'!P16)</f>
        <v>0.3125</v>
      </c>
      <c r="K15" s="34">
        <f>IF('이동 상세'!Q16="","",'이동 상세'!Q16)</f>
        <v>0.6166666666666667</v>
      </c>
      <c r="L15" s="32">
        <f>IF('이동 상세'!S16="","",'이동 상세'!S16)</f>
        <v>7.5443333333333307E-2</v>
      </c>
      <c r="M15" s="74" t="s">
        <v>926</v>
      </c>
      <c r="N15" s="21" t="s">
        <v>497</v>
      </c>
      <c r="O15" s="92" t="s">
        <v>498</v>
      </c>
      <c r="P15" s="79"/>
      <c r="Q15" s="120">
        <v>11</v>
      </c>
      <c r="R15" s="109" t="s">
        <v>47</v>
      </c>
      <c r="S15" s="109" t="s">
        <v>45</v>
      </c>
      <c r="T15" s="109" t="s">
        <v>48</v>
      </c>
      <c r="U15" s="108" t="s">
        <v>975</v>
      </c>
      <c r="V15" s="106" t="s">
        <v>499</v>
      </c>
      <c r="W15" s="105" t="s">
        <v>500</v>
      </c>
      <c r="X15" s="105" t="s">
        <v>501</v>
      </c>
      <c r="Y15" s="105" t="s">
        <v>502</v>
      </c>
      <c r="Z15" s="118" t="s">
        <v>503</v>
      </c>
    </row>
    <row r="16" spans="1:26" ht="49.95" customHeight="1">
      <c r="A16" s="91">
        <v>12</v>
      </c>
      <c r="B16" s="29" t="s">
        <v>49</v>
      </c>
      <c r="C16" s="29" t="s">
        <v>33</v>
      </c>
      <c r="D16" s="29" t="s">
        <v>45</v>
      </c>
      <c r="E16" s="29" t="s">
        <v>50</v>
      </c>
      <c r="F16" s="29" t="s">
        <v>452</v>
      </c>
      <c r="G16" s="29" t="s">
        <v>30</v>
      </c>
      <c r="H16" s="30">
        <f>IF('이동 상세'!H17="","",HYPERLINK('경로 좌표'!N13,'이동 상세'!H17))</f>
        <v>7.8</v>
      </c>
      <c r="I16" s="31">
        <f>IF('이동 상세'!H17="","",'이동 상세'!I17)</f>
        <v>8.1250000000000003E-2</v>
      </c>
      <c r="J16" s="31">
        <f>IF('이동 상세'!P17="","",'이동 상세'!P17)</f>
        <v>0.4375</v>
      </c>
      <c r="K16" s="31">
        <f>IF('이동 상세'!Q17="","",'이동 상세'!Q17)</f>
        <v>0.56041666666666667</v>
      </c>
      <c r="L16" s="32">
        <f>IF('이동 상세'!S17="","",'이동 상세'!S17)</f>
        <v>0.13213333333333332</v>
      </c>
      <c r="M16" s="74" t="s">
        <v>927</v>
      </c>
      <c r="N16" s="21" t="s">
        <v>504</v>
      </c>
      <c r="O16" s="92" t="s">
        <v>505</v>
      </c>
      <c r="P16" s="79"/>
      <c r="Q16" s="120">
        <v>12</v>
      </c>
      <c r="R16" s="109" t="s">
        <v>49</v>
      </c>
      <c r="S16" s="109" t="s">
        <v>45</v>
      </c>
      <c r="T16" s="109" t="s">
        <v>50</v>
      </c>
      <c r="U16" s="105" t="s">
        <v>506</v>
      </c>
      <c r="V16" s="106" t="s">
        <v>507</v>
      </c>
      <c r="W16" s="105"/>
      <c r="X16" s="106" t="s">
        <v>508</v>
      </c>
      <c r="Y16" s="106" t="s">
        <v>509</v>
      </c>
      <c r="Z16" s="118" t="s">
        <v>510</v>
      </c>
    </row>
    <row r="17" spans="1:26" ht="49.95" customHeight="1">
      <c r="A17" s="91">
        <v>13</v>
      </c>
      <c r="B17" s="29" t="s">
        <v>51</v>
      </c>
      <c r="C17" s="29" t="s">
        <v>36</v>
      </c>
      <c r="D17" s="29" t="s">
        <v>45</v>
      </c>
      <c r="E17" s="29" t="s">
        <v>52</v>
      </c>
      <c r="F17" s="29" t="s">
        <v>452</v>
      </c>
      <c r="G17" s="29" t="s">
        <v>30</v>
      </c>
      <c r="H17" s="33">
        <f>IF('이동 상세'!H18="","",HYPERLINK('경로 좌표'!N14,'이동 상세'!H18))</f>
        <v>22.6</v>
      </c>
      <c r="I17" s="34">
        <f>IF('이동 상세'!H18="","",'이동 상세'!I18)</f>
        <v>0.23541666666666669</v>
      </c>
      <c r="J17" s="34">
        <f>IF('이동 상세'!P18="","",'이동 상세'!P18)</f>
        <v>0.3125</v>
      </c>
      <c r="K17" s="34">
        <f>IF('이동 상세'!Q18="","",'이동 상세'!Q18)</f>
        <v>0.61041666666666672</v>
      </c>
      <c r="L17" s="32">
        <f>IF('이동 상세'!S18="","",'이동 상세'!S18)</f>
        <v>8.2903333333333329E-2</v>
      </c>
      <c r="M17" s="74" t="s">
        <v>928</v>
      </c>
      <c r="N17" s="21" t="s">
        <v>511</v>
      </c>
      <c r="O17" s="92" t="s">
        <v>953</v>
      </c>
      <c r="P17" s="79"/>
      <c r="Q17" s="120">
        <v>13</v>
      </c>
      <c r="R17" s="109" t="s">
        <v>51</v>
      </c>
      <c r="S17" s="109" t="s">
        <v>45</v>
      </c>
      <c r="T17" s="109" t="s">
        <v>52</v>
      </c>
      <c r="U17" s="108" t="s">
        <v>976</v>
      </c>
      <c r="V17" s="106" t="s">
        <v>512</v>
      </c>
      <c r="W17" s="106" t="s">
        <v>513</v>
      </c>
      <c r="X17" s="105" t="s">
        <v>514</v>
      </c>
      <c r="Y17" s="105" t="s">
        <v>515</v>
      </c>
      <c r="Z17" s="118" t="s">
        <v>1000</v>
      </c>
    </row>
    <row r="18" spans="1:26" ht="49.95" customHeight="1">
      <c r="A18" s="91">
        <v>14</v>
      </c>
      <c r="B18" s="29" t="s">
        <v>53</v>
      </c>
      <c r="C18" s="29" t="s">
        <v>40</v>
      </c>
      <c r="D18" s="29" t="s">
        <v>54</v>
      </c>
      <c r="E18" s="29" t="s">
        <v>961</v>
      </c>
      <c r="F18" s="29" t="s">
        <v>440</v>
      </c>
      <c r="G18" s="29" t="s">
        <v>453</v>
      </c>
      <c r="H18" s="30">
        <f>IF('이동 상세'!H19="","",HYPERLINK('경로 좌표'!N15,'이동 상세'!H19))</f>
        <v>20.8</v>
      </c>
      <c r="I18" s="31">
        <f>IF('이동 상세'!H19="","",'이동 상세'!I19)</f>
        <v>0.21666666666666667</v>
      </c>
      <c r="J18" s="31">
        <f>IF('이동 상세'!P19="","",'이동 상세'!P19)</f>
        <v>0.33333333333333298</v>
      </c>
      <c r="K18" s="31">
        <f>IF('이동 상세'!Q19="","",'이동 상세'!Q19)</f>
        <v>0.59166666666666623</v>
      </c>
      <c r="L18" s="32">
        <f>IF('이동 상세'!S19="","",'이동 상세'!S19)</f>
        <v>0.10331333333333381</v>
      </c>
      <c r="M18" s="74" t="s">
        <v>929</v>
      </c>
      <c r="N18" s="21" t="s">
        <v>941</v>
      </c>
      <c r="O18" s="88" t="s">
        <v>945</v>
      </c>
      <c r="P18" s="77"/>
      <c r="Q18" s="120">
        <v>14</v>
      </c>
      <c r="R18" s="109" t="s">
        <v>53</v>
      </c>
      <c r="S18" s="109" t="s">
        <v>54</v>
      </c>
      <c r="T18" s="109" t="s">
        <v>960</v>
      </c>
      <c r="U18" s="106" t="s">
        <v>977</v>
      </c>
      <c r="V18" s="106" t="s">
        <v>517</v>
      </c>
      <c r="W18" s="105" t="s">
        <v>518</v>
      </c>
      <c r="X18" s="106" t="s">
        <v>519</v>
      </c>
      <c r="Y18" s="106" t="s">
        <v>520</v>
      </c>
      <c r="Z18" s="118" t="s">
        <v>999</v>
      </c>
    </row>
    <row r="19" spans="1:26" ht="49.95" customHeight="1">
      <c r="A19" s="89">
        <v>15</v>
      </c>
      <c r="B19" s="24" t="s">
        <v>55</v>
      </c>
      <c r="C19" s="24" t="s">
        <v>14</v>
      </c>
      <c r="D19" s="24" t="s">
        <v>54</v>
      </c>
      <c r="E19" s="24" t="s">
        <v>961</v>
      </c>
      <c r="F19" s="24" t="s">
        <v>22</v>
      </c>
      <c r="G19" s="24" t="s">
        <v>34</v>
      </c>
      <c r="H19" s="25" t="str">
        <f>IF('이동 상세'!H20="","",'이동 상세'!H20)</f>
        <v/>
      </c>
      <c r="I19" s="26" t="str">
        <f>IF('이동 상세'!H20="","",'이동 상세'!I20)</f>
        <v/>
      </c>
      <c r="J19" s="26" t="str">
        <f>IF('이동 상세'!P20="","",'이동 상세'!P20)</f>
        <v/>
      </c>
      <c r="K19" s="26" t="str">
        <f>IF('이동 상세'!Q20="","",'이동 상세'!Q20)</f>
        <v/>
      </c>
      <c r="L19" s="27" t="str">
        <f>IF('이동 상세'!S20="","",'이동 상세'!S20)</f>
        <v/>
      </c>
      <c r="M19" s="74" t="s">
        <v>930</v>
      </c>
      <c r="N19" s="20"/>
      <c r="O19" s="90" t="s">
        <v>946</v>
      </c>
      <c r="P19" s="78"/>
      <c r="Q19" s="119">
        <v>15</v>
      </c>
      <c r="R19" s="107" t="s">
        <v>55</v>
      </c>
      <c r="S19" s="107" t="s">
        <v>54</v>
      </c>
      <c r="T19" s="107" t="s">
        <v>960</v>
      </c>
      <c r="U19" s="108" t="s">
        <v>978</v>
      </c>
      <c r="V19" s="106" t="s">
        <v>521</v>
      </c>
      <c r="W19" s="106" t="s">
        <v>986</v>
      </c>
      <c r="X19" s="106" t="s">
        <v>522</v>
      </c>
      <c r="Y19" s="105" t="s">
        <v>523</v>
      </c>
      <c r="Z19" s="118" t="s">
        <v>524</v>
      </c>
    </row>
    <row r="20" spans="1:26" ht="49.95" customHeight="1">
      <c r="A20" s="91">
        <v>16</v>
      </c>
      <c r="B20" s="29" t="s">
        <v>56</v>
      </c>
      <c r="C20" s="71" t="s">
        <v>21</v>
      </c>
      <c r="D20" s="29" t="s">
        <v>57</v>
      </c>
      <c r="E20" s="29" t="s">
        <v>58</v>
      </c>
      <c r="F20" s="29" t="s">
        <v>440</v>
      </c>
      <c r="G20" s="29" t="s">
        <v>30</v>
      </c>
      <c r="H20" s="33">
        <f>IF('이동 상세'!H21="","",HYPERLINK('경로 좌표'!N16,'이동 상세'!H21))</f>
        <v>23</v>
      </c>
      <c r="I20" s="34">
        <f>IF('이동 상세'!H21="","",'이동 상세'!I21)</f>
        <v>0.23958333333333334</v>
      </c>
      <c r="J20" s="34">
        <f>IF('이동 상세'!P21="","",'이동 상세'!P21)</f>
        <v>0.3125</v>
      </c>
      <c r="K20" s="34">
        <f>IF('이동 상세'!Q21="","",'이동 상세'!Q21)</f>
        <v>0.59375</v>
      </c>
      <c r="L20" s="32">
        <f>IF('이동 상세'!S21="","",'이동 상세'!S21)</f>
        <v>0.10213000000000005</v>
      </c>
      <c r="M20" s="74" t="s">
        <v>931</v>
      </c>
      <c r="N20" s="21" t="s">
        <v>525</v>
      </c>
      <c r="O20" s="92" t="s">
        <v>526</v>
      </c>
      <c r="P20" s="79"/>
      <c r="Q20" s="120">
        <v>16</v>
      </c>
      <c r="R20" s="109" t="s">
        <v>56</v>
      </c>
      <c r="S20" s="109" t="s">
        <v>57</v>
      </c>
      <c r="T20" s="109" t="s">
        <v>58</v>
      </c>
      <c r="U20" s="108" t="s">
        <v>527</v>
      </c>
      <c r="V20" s="106" t="s">
        <v>528</v>
      </c>
      <c r="W20" s="105" t="s">
        <v>529</v>
      </c>
      <c r="X20" s="105" t="s">
        <v>530</v>
      </c>
      <c r="Y20" s="105" t="s">
        <v>531</v>
      </c>
      <c r="Z20" s="118" t="s">
        <v>532</v>
      </c>
    </row>
    <row r="21" spans="1:26" ht="49.95" customHeight="1">
      <c r="A21" s="91">
        <v>17</v>
      </c>
      <c r="B21" s="29" t="s">
        <v>59</v>
      </c>
      <c r="C21" s="71" t="s">
        <v>25</v>
      </c>
      <c r="D21" s="29" t="s">
        <v>57</v>
      </c>
      <c r="E21" s="29" t="s">
        <v>58</v>
      </c>
      <c r="F21" s="29" t="s">
        <v>22</v>
      </c>
      <c r="G21" s="29" t="s">
        <v>533</v>
      </c>
      <c r="H21" s="30">
        <f>IF('이동 상세'!H22="","",HYPERLINK('경로 좌표'!N17,'이동 상세'!H22))</f>
        <v>13.7</v>
      </c>
      <c r="I21" s="31">
        <f>IF('이동 상세'!H22="","",'이동 상세'!I22)</f>
        <v>0.14270833333333333</v>
      </c>
      <c r="J21" s="31">
        <f>IF('이동 상세'!P22="","",'이동 상세'!P22)</f>
        <v>0.39583333333333298</v>
      </c>
      <c r="K21" s="31">
        <f>IF('이동 상세'!Q22="","",'이동 상세'!Q22)</f>
        <v>0.58020833333333288</v>
      </c>
      <c r="L21" s="32">
        <f>IF('이동 상세'!S22="","",'이동 상세'!S22)</f>
        <v>0.11600166666666711</v>
      </c>
      <c r="M21" s="74" t="s">
        <v>60</v>
      </c>
      <c r="N21" s="21" t="s">
        <v>534</v>
      </c>
      <c r="O21" s="92" t="s">
        <v>947</v>
      </c>
      <c r="P21" s="79"/>
      <c r="Q21" s="120">
        <v>17</v>
      </c>
      <c r="R21" s="109" t="s">
        <v>59</v>
      </c>
      <c r="S21" s="109" t="s">
        <v>57</v>
      </c>
      <c r="T21" s="109" t="s">
        <v>58</v>
      </c>
      <c r="U21" s="108" t="s">
        <v>535</v>
      </c>
      <c r="V21" s="106" t="s">
        <v>985</v>
      </c>
      <c r="W21" s="105"/>
      <c r="X21" s="105" t="s">
        <v>536</v>
      </c>
      <c r="Y21" s="105" t="s">
        <v>537</v>
      </c>
      <c r="Z21" s="118" t="s">
        <v>538</v>
      </c>
    </row>
    <row r="22" spans="1:26" ht="49.95" customHeight="1">
      <c r="A22" s="91">
        <v>18</v>
      </c>
      <c r="B22" s="29" t="s">
        <v>61</v>
      </c>
      <c r="C22" s="29" t="s">
        <v>29</v>
      </c>
      <c r="D22" s="29" t="s">
        <v>57</v>
      </c>
      <c r="E22" s="29" t="s">
        <v>62</v>
      </c>
      <c r="F22" s="29" t="s">
        <v>452</v>
      </c>
      <c r="G22" s="29" t="s">
        <v>453</v>
      </c>
      <c r="H22" s="30">
        <f>IF('이동 상세'!H23="","",HYPERLINK('경로 좌표'!N18,'이동 상세'!H23))</f>
        <v>19.899999999999999</v>
      </c>
      <c r="I22" s="31">
        <f>IF('이동 상세'!H23="","",'이동 상세'!I23)</f>
        <v>0.20729166666666665</v>
      </c>
      <c r="J22" s="31">
        <f>IF('이동 상세'!P23="","",'이동 상세'!P23)</f>
        <v>0.35416666666666702</v>
      </c>
      <c r="K22" s="31">
        <f>IF('이동 상세'!Q23="","",'이동 상세'!Q23)</f>
        <v>0.60312500000000024</v>
      </c>
      <c r="L22" s="32">
        <f>IF('이동 상세'!S23="","",'이동 상세'!S23)</f>
        <v>9.3614999999999782E-2</v>
      </c>
      <c r="M22" s="74" t="s">
        <v>932</v>
      </c>
      <c r="N22" s="21" t="s">
        <v>539</v>
      </c>
      <c r="O22" s="88" t="s">
        <v>948</v>
      </c>
      <c r="P22" s="77"/>
      <c r="Q22" s="120">
        <v>18</v>
      </c>
      <c r="R22" s="109" t="s">
        <v>61</v>
      </c>
      <c r="S22" s="109" t="s">
        <v>57</v>
      </c>
      <c r="T22" s="109" t="s">
        <v>62</v>
      </c>
      <c r="U22" s="108" t="s">
        <v>540</v>
      </c>
      <c r="V22" s="106" t="s">
        <v>541</v>
      </c>
      <c r="W22" s="105" t="s">
        <v>542</v>
      </c>
      <c r="X22" s="108" t="s">
        <v>543</v>
      </c>
      <c r="Y22" s="106" t="s">
        <v>544</v>
      </c>
      <c r="Z22" s="118" t="s">
        <v>1001</v>
      </c>
    </row>
    <row r="23" spans="1:26" ht="49.95" customHeight="1">
      <c r="A23" s="91">
        <v>19</v>
      </c>
      <c r="B23" s="29" t="s">
        <v>63</v>
      </c>
      <c r="C23" s="29" t="s">
        <v>33</v>
      </c>
      <c r="D23" s="29" t="s">
        <v>64</v>
      </c>
      <c r="E23" s="29" t="s">
        <v>64</v>
      </c>
      <c r="F23" s="29" t="s">
        <v>452</v>
      </c>
      <c r="G23" s="29" t="s">
        <v>545</v>
      </c>
      <c r="H23" s="30">
        <f>IF('이동 상세'!H24="","",HYPERLINK('경로 좌표'!N19,'이동 상세'!H24))</f>
        <v>19.8</v>
      </c>
      <c r="I23" s="31">
        <f>IF('이동 상세'!H24="","",'이동 상세'!I24)</f>
        <v>0.20625000000000002</v>
      </c>
      <c r="J23" s="31">
        <f>IF('이동 상세'!P24="","",'이동 상세'!P24)</f>
        <v>0.35416666666666702</v>
      </c>
      <c r="K23" s="31">
        <f>IF('이동 상세'!Q24="","",'이동 상세'!Q24)</f>
        <v>0.60208333333333364</v>
      </c>
      <c r="L23" s="32">
        <f>IF('이동 상세'!S24="","",'이동 상세'!S24)</f>
        <v>9.5416666666666372E-2</v>
      </c>
      <c r="M23" s="74" t="s">
        <v>65</v>
      </c>
      <c r="N23" s="21" t="s">
        <v>546</v>
      </c>
      <c r="O23" s="88" t="s">
        <v>954</v>
      </c>
      <c r="P23" s="77"/>
      <c r="Q23" s="120">
        <v>19</v>
      </c>
      <c r="R23" s="109" t="s">
        <v>63</v>
      </c>
      <c r="S23" s="109" t="s">
        <v>64</v>
      </c>
      <c r="T23" s="109" t="s">
        <v>64</v>
      </c>
      <c r="U23" s="108" t="s">
        <v>547</v>
      </c>
      <c r="V23" s="106" t="s">
        <v>548</v>
      </c>
      <c r="W23" s="106" t="s">
        <v>549</v>
      </c>
      <c r="X23" s="106" t="s">
        <v>550</v>
      </c>
      <c r="Y23" s="106" t="s">
        <v>551</v>
      </c>
      <c r="Z23" s="118" t="s">
        <v>1002</v>
      </c>
    </row>
    <row r="24" spans="1:26" ht="49.95" customHeight="1">
      <c r="A24" s="89">
        <v>20</v>
      </c>
      <c r="B24" s="24" t="s">
        <v>66</v>
      </c>
      <c r="C24" s="24" t="s">
        <v>36</v>
      </c>
      <c r="D24" s="24" t="s">
        <v>64</v>
      </c>
      <c r="E24" s="24" t="s">
        <v>67</v>
      </c>
      <c r="F24" s="24" t="s">
        <v>452</v>
      </c>
      <c r="G24" s="24" t="s">
        <v>34</v>
      </c>
      <c r="H24" s="25" t="str">
        <f>IF('이동 상세'!H25="","",'이동 상세'!H25)</f>
        <v/>
      </c>
      <c r="I24" s="26" t="str">
        <f>IF('이동 상세'!H25="","",'이동 상세'!I25)</f>
        <v/>
      </c>
      <c r="J24" s="26" t="str">
        <f>IF('이동 상세'!P25="","",'이동 상세'!P25)</f>
        <v/>
      </c>
      <c r="K24" s="26" t="str">
        <f>IF('이동 상세'!Q25="","",'이동 상세'!Q25)</f>
        <v/>
      </c>
      <c r="L24" s="27" t="str">
        <f>IF('이동 상세'!S25="","",'이동 상세'!S25)</f>
        <v/>
      </c>
      <c r="M24" s="74" t="s">
        <v>933</v>
      </c>
      <c r="N24" s="21" t="s">
        <v>552</v>
      </c>
      <c r="O24" s="90" t="s">
        <v>949</v>
      </c>
      <c r="P24" s="78"/>
      <c r="Q24" s="119">
        <v>20</v>
      </c>
      <c r="R24" s="107" t="s">
        <v>66</v>
      </c>
      <c r="S24" s="107" t="s">
        <v>64</v>
      </c>
      <c r="T24" s="107" t="s">
        <v>67</v>
      </c>
      <c r="U24" s="106" t="s">
        <v>979</v>
      </c>
      <c r="V24" s="106" t="s">
        <v>553</v>
      </c>
      <c r="W24" s="105" t="s">
        <v>554</v>
      </c>
      <c r="X24" s="106" t="s">
        <v>555</v>
      </c>
      <c r="Y24" s="105" t="s">
        <v>556</v>
      </c>
      <c r="Z24" s="118" t="s">
        <v>1003</v>
      </c>
    </row>
    <row r="25" spans="1:26" ht="49.95" customHeight="1">
      <c r="A25" s="91">
        <v>21</v>
      </c>
      <c r="B25" s="29" t="s">
        <v>68</v>
      </c>
      <c r="C25" s="29" t="s">
        <v>40</v>
      </c>
      <c r="D25" s="29" t="s">
        <v>69</v>
      </c>
      <c r="E25" s="29" t="s">
        <v>963</v>
      </c>
      <c r="F25" s="29" t="s">
        <v>452</v>
      </c>
      <c r="G25" s="29" t="s">
        <v>453</v>
      </c>
      <c r="H25" s="30">
        <f>IF('이동 상세'!H26="","",HYPERLINK('경로 좌표'!N20,'이동 상세'!H26))</f>
        <v>13.7</v>
      </c>
      <c r="I25" s="31">
        <f>IF('이동 상세'!H26="","",'이동 상세'!I26)</f>
        <v>0.14270833333333333</v>
      </c>
      <c r="J25" s="31">
        <f>IF('이동 상세'!P26="","",'이동 상세'!P26)</f>
        <v>0.39583333333333298</v>
      </c>
      <c r="K25" s="31">
        <f>IF('이동 상세'!Q26="","",'이동 상세'!Q26)</f>
        <v>0.58020833333333288</v>
      </c>
      <c r="L25" s="32">
        <f>IF('이동 상세'!S26="","",'이동 상세'!S26)</f>
        <v>0.11989166666666706</v>
      </c>
      <c r="M25" s="74" t="s">
        <v>934</v>
      </c>
      <c r="N25" s="21" t="s">
        <v>942</v>
      </c>
      <c r="O25" s="88" t="s">
        <v>950</v>
      </c>
      <c r="P25" s="77"/>
      <c r="Q25" s="120">
        <v>21</v>
      </c>
      <c r="R25" s="109" t="s">
        <v>68</v>
      </c>
      <c r="S25" s="109" t="s">
        <v>69</v>
      </c>
      <c r="T25" s="109" t="s">
        <v>962</v>
      </c>
      <c r="U25" s="108" t="s">
        <v>557</v>
      </c>
      <c r="V25" s="106" t="s">
        <v>558</v>
      </c>
      <c r="W25" s="105" t="s">
        <v>559</v>
      </c>
      <c r="X25" s="106" t="s">
        <v>560</v>
      </c>
      <c r="Y25" s="106" t="s">
        <v>561</v>
      </c>
      <c r="Z25" s="118" t="s">
        <v>1004</v>
      </c>
    </row>
    <row r="26" spans="1:26" ht="49.95" customHeight="1">
      <c r="A26" s="91">
        <v>22</v>
      </c>
      <c r="B26" s="29" t="s">
        <v>70</v>
      </c>
      <c r="C26" s="29" t="s">
        <v>14</v>
      </c>
      <c r="D26" s="29" t="s">
        <v>71</v>
      </c>
      <c r="E26" s="29" t="s">
        <v>72</v>
      </c>
      <c r="F26" s="29" t="s">
        <v>452</v>
      </c>
      <c r="G26" s="29" t="s">
        <v>533</v>
      </c>
      <c r="H26" s="33">
        <f>IF('이동 상세'!H27="","",HYPERLINK('경로 좌표'!N21,'이동 상세'!H27))</f>
        <v>18.100000000000001</v>
      </c>
      <c r="I26" s="34">
        <f>IF('이동 상세'!H27="","",'이동 상세'!I27)</f>
        <v>0.18854166666666669</v>
      </c>
      <c r="J26" s="34">
        <f>IF('이동 상세'!P27="","",'이동 상세'!P27)</f>
        <v>0.33333333333333298</v>
      </c>
      <c r="K26" s="34">
        <f>IF('이동 상세'!Q27="","",'이동 상세'!Q27)</f>
        <v>0.58437499999999964</v>
      </c>
      <c r="L26" s="32">
        <f>IF('이동 상세'!S27="","",'이동 상세'!S27)</f>
        <v>0.11633500000000041</v>
      </c>
      <c r="M26" s="74" t="s">
        <v>562</v>
      </c>
      <c r="N26" s="21" t="s">
        <v>563</v>
      </c>
      <c r="O26" s="92" t="s">
        <v>951</v>
      </c>
      <c r="P26" s="79"/>
      <c r="Q26" s="120">
        <v>22</v>
      </c>
      <c r="R26" s="109" t="s">
        <v>70</v>
      </c>
      <c r="S26" s="109" t="s">
        <v>71</v>
      </c>
      <c r="T26" s="109" t="s">
        <v>72</v>
      </c>
      <c r="U26" s="106" t="s">
        <v>564</v>
      </c>
      <c r="V26" s="105" t="s">
        <v>565</v>
      </c>
      <c r="W26" s="105" t="s">
        <v>566</v>
      </c>
      <c r="X26" s="106" t="s">
        <v>567</v>
      </c>
      <c r="Y26" s="106" t="s">
        <v>568</v>
      </c>
      <c r="Z26" s="118" t="s">
        <v>1005</v>
      </c>
    </row>
    <row r="27" spans="1:26" ht="49.95" customHeight="1">
      <c r="A27" s="91">
        <v>23</v>
      </c>
      <c r="B27" s="29" t="s">
        <v>73</v>
      </c>
      <c r="C27" s="71" t="s">
        <v>21</v>
      </c>
      <c r="D27" s="29" t="s">
        <v>71</v>
      </c>
      <c r="E27" s="29" t="s">
        <v>74</v>
      </c>
      <c r="F27" s="29" t="s">
        <v>452</v>
      </c>
      <c r="G27" s="29" t="s">
        <v>30</v>
      </c>
      <c r="H27" s="33">
        <f>IF('이동 상세'!H28="","",HYPERLINK('경로 좌표'!N22,'이동 상세'!H28))</f>
        <v>23.1</v>
      </c>
      <c r="I27" s="34">
        <f>IF('이동 상세'!H28="","",'이동 상세'!I28)</f>
        <v>0.24062500000000001</v>
      </c>
      <c r="J27" s="34">
        <f>IF('이동 상세'!P28="","",'이동 상세'!P28)</f>
        <v>0.3125</v>
      </c>
      <c r="K27" s="34">
        <f>IF('이동 상세'!Q28="","",'이동 상세'!Q28)</f>
        <v>0.59479166666666661</v>
      </c>
      <c r="L27" s="32">
        <f>IF('이동 상세'!S28="","",'이동 상세'!S28)</f>
        <v>0.10706833333333343</v>
      </c>
      <c r="M27" s="74" t="s">
        <v>569</v>
      </c>
      <c r="N27" s="21" t="s">
        <v>570</v>
      </c>
      <c r="O27" s="92" t="s">
        <v>571</v>
      </c>
      <c r="P27" s="79"/>
      <c r="Q27" s="120">
        <v>23</v>
      </c>
      <c r="R27" s="109" t="s">
        <v>73</v>
      </c>
      <c r="S27" s="109" t="s">
        <v>71</v>
      </c>
      <c r="T27" s="109" t="s">
        <v>74</v>
      </c>
      <c r="U27" s="106" t="s">
        <v>980</v>
      </c>
      <c r="V27" s="106" t="s">
        <v>572</v>
      </c>
      <c r="W27" s="106" t="s">
        <v>573</v>
      </c>
      <c r="X27" s="106" t="s">
        <v>574</v>
      </c>
      <c r="Y27" s="106" t="s">
        <v>575</v>
      </c>
      <c r="Z27" s="118" t="s">
        <v>576</v>
      </c>
    </row>
    <row r="28" spans="1:26" ht="49.95" customHeight="1">
      <c r="A28" s="91">
        <v>24</v>
      </c>
      <c r="B28" s="29" t="s">
        <v>75</v>
      </c>
      <c r="C28" s="71" t="s">
        <v>25</v>
      </c>
      <c r="D28" s="29" t="s">
        <v>71</v>
      </c>
      <c r="E28" s="29" t="s">
        <v>965</v>
      </c>
      <c r="F28" s="29" t="s">
        <v>452</v>
      </c>
      <c r="G28" s="29" t="s">
        <v>30</v>
      </c>
      <c r="H28" s="30">
        <f>IF('이동 상세'!H29="","",HYPERLINK('경로 좌표'!N23,'이동 상세'!H29))</f>
        <v>9.1</v>
      </c>
      <c r="I28" s="31">
        <f>IF('이동 상세'!H29="","",'이동 상세'!I29)</f>
        <v>9.4791666666666663E-2</v>
      </c>
      <c r="J28" s="31">
        <f>IF('이동 상세'!P29="","",'이동 상세'!P29)</f>
        <v>0.4375</v>
      </c>
      <c r="K28" s="31">
        <f>IF('이동 상세'!Q29="","",'이동 상세'!Q29)</f>
        <v>0.57395833333333324</v>
      </c>
      <c r="L28" s="32">
        <f>IF('이동 상세'!S29="","",'이동 상세'!S29)</f>
        <v>0.12858166666666682</v>
      </c>
      <c r="M28" s="74" t="s">
        <v>577</v>
      </c>
      <c r="N28" s="20"/>
      <c r="O28" s="92" t="s">
        <v>578</v>
      </c>
      <c r="P28" s="79"/>
      <c r="Q28" s="120">
        <v>24</v>
      </c>
      <c r="R28" s="109" t="s">
        <v>75</v>
      </c>
      <c r="S28" s="109" t="s">
        <v>71</v>
      </c>
      <c r="T28" s="109" t="s">
        <v>964</v>
      </c>
      <c r="U28" s="108" t="s">
        <v>579</v>
      </c>
      <c r="V28" s="106" t="s">
        <v>580</v>
      </c>
      <c r="W28" s="106" t="s">
        <v>581</v>
      </c>
      <c r="X28" s="108" t="s">
        <v>582</v>
      </c>
      <c r="Y28" s="106" t="s">
        <v>583</v>
      </c>
      <c r="Z28" s="118" t="s">
        <v>584</v>
      </c>
    </row>
    <row r="29" spans="1:26" ht="49.95" customHeight="1">
      <c r="A29" s="91">
        <v>25</v>
      </c>
      <c r="B29" s="29" t="s">
        <v>76</v>
      </c>
      <c r="C29" s="29" t="s">
        <v>29</v>
      </c>
      <c r="D29" s="29" t="s">
        <v>71</v>
      </c>
      <c r="E29" s="29" t="s">
        <v>77</v>
      </c>
      <c r="F29" s="29" t="s">
        <v>585</v>
      </c>
      <c r="G29" s="29" t="s">
        <v>30</v>
      </c>
      <c r="H29" s="30">
        <f>IF('이동 상세'!H30="","",HYPERLINK('경로 좌표'!N24,'이동 상세'!H30))</f>
        <v>19.600000000000001</v>
      </c>
      <c r="I29" s="31">
        <f>IF('이동 상세'!H30="","",'이동 상세'!I30)</f>
        <v>0.20416666666666669</v>
      </c>
      <c r="J29" s="31">
        <f>IF('이동 상세'!P30="","",'이동 상세'!P30)</f>
        <v>0.35416666666666702</v>
      </c>
      <c r="K29" s="31">
        <f>IF('이동 상세'!Q30="","",'이동 상세'!Q30)</f>
        <v>0.60000000000000031</v>
      </c>
      <c r="L29" s="32">
        <f>IF('이동 상세'!S30="","",'이동 상세'!S30)</f>
        <v>0.1033299999999997</v>
      </c>
      <c r="M29" s="74" t="s">
        <v>586</v>
      </c>
      <c r="N29" s="21" t="s">
        <v>587</v>
      </c>
      <c r="O29" s="92" t="s">
        <v>588</v>
      </c>
      <c r="P29" s="79"/>
      <c r="Q29" s="120">
        <v>25</v>
      </c>
      <c r="R29" s="109" t="s">
        <v>76</v>
      </c>
      <c r="S29" s="109" t="s">
        <v>71</v>
      </c>
      <c r="T29" s="109" t="s">
        <v>77</v>
      </c>
      <c r="U29" s="106" t="s">
        <v>589</v>
      </c>
      <c r="V29" s="106" t="s">
        <v>590</v>
      </c>
      <c r="W29" s="105"/>
      <c r="X29" s="106" t="s">
        <v>591</v>
      </c>
      <c r="Y29" s="106" t="s">
        <v>592</v>
      </c>
      <c r="Z29" s="118" t="s">
        <v>593</v>
      </c>
    </row>
    <row r="30" spans="1:26" ht="49.95" customHeight="1">
      <c r="A30" s="89">
        <v>26</v>
      </c>
      <c r="B30" s="24" t="s">
        <v>78</v>
      </c>
      <c r="C30" s="24" t="s">
        <v>33</v>
      </c>
      <c r="D30" s="24" t="s">
        <v>77</v>
      </c>
      <c r="E30" s="24" t="s">
        <v>77</v>
      </c>
      <c r="F30" s="24" t="s">
        <v>22</v>
      </c>
      <c r="G30" s="24" t="s">
        <v>23</v>
      </c>
      <c r="H30" s="25" t="str">
        <f>IF('이동 상세'!H31="","",'이동 상세'!H31)</f>
        <v/>
      </c>
      <c r="I30" s="26" t="str">
        <f>IF('이동 상세'!H31="","",'이동 상세'!I31)</f>
        <v/>
      </c>
      <c r="J30" s="26" t="str">
        <f>IF('이동 상세'!P31="","",'이동 상세'!P31)</f>
        <v/>
      </c>
      <c r="K30" s="26" t="str">
        <f>IF('이동 상세'!Q31="","",'이동 상세'!Q31)</f>
        <v/>
      </c>
      <c r="L30" s="27" t="str">
        <f>IF('이동 상세'!S31="","",'이동 상세'!S31)</f>
        <v/>
      </c>
      <c r="M30" s="74" t="s">
        <v>935</v>
      </c>
      <c r="N30" s="20"/>
      <c r="O30" s="90" t="s">
        <v>594</v>
      </c>
      <c r="P30" s="78"/>
      <c r="Q30" s="119">
        <v>26</v>
      </c>
      <c r="R30" s="107" t="s">
        <v>78</v>
      </c>
      <c r="S30" s="107" t="s">
        <v>77</v>
      </c>
      <c r="T30" s="107" t="s">
        <v>77</v>
      </c>
      <c r="U30" s="108" t="s">
        <v>981</v>
      </c>
      <c r="V30" s="105" t="s">
        <v>595</v>
      </c>
      <c r="W30" s="105"/>
      <c r="X30" s="105" t="s">
        <v>596</v>
      </c>
      <c r="Y30" s="105" t="s">
        <v>597</v>
      </c>
      <c r="Z30" s="118" t="s">
        <v>598</v>
      </c>
    </row>
    <row r="31" spans="1:26" ht="49.95" customHeight="1">
      <c r="A31" s="89">
        <v>27</v>
      </c>
      <c r="B31" s="24" t="s">
        <v>79</v>
      </c>
      <c r="C31" s="24" t="s">
        <v>36</v>
      </c>
      <c r="D31" s="24" t="s">
        <v>77</v>
      </c>
      <c r="E31" s="24" t="s">
        <v>77</v>
      </c>
      <c r="F31" s="24" t="s">
        <v>22</v>
      </c>
      <c r="G31" s="24" t="s">
        <v>23</v>
      </c>
      <c r="H31" s="25" t="str">
        <f>IF('이동 상세'!H32="","",'이동 상세'!H32)</f>
        <v/>
      </c>
      <c r="I31" s="26" t="str">
        <f>IF('이동 상세'!H32="","",'이동 상세'!I32)</f>
        <v/>
      </c>
      <c r="J31" s="26" t="str">
        <f>IF('이동 상세'!P32="","",'이동 상세'!P32)</f>
        <v/>
      </c>
      <c r="K31" s="26" t="str">
        <f>IF('이동 상세'!Q32="","",'이동 상세'!Q32)</f>
        <v/>
      </c>
      <c r="L31" s="27" t="str">
        <f>IF('이동 상세'!S32="","",'이동 상세'!S32)</f>
        <v/>
      </c>
      <c r="M31" s="74" t="s">
        <v>936</v>
      </c>
      <c r="N31" s="20"/>
      <c r="O31" s="90" t="s">
        <v>599</v>
      </c>
      <c r="P31" s="78"/>
      <c r="Q31" s="119">
        <v>27</v>
      </c>
      <c r="R31" s="107" t="s">
        <v>79</v>
      </c>
      <c r="S31" s="107" t="s">
        <v>77</v>
      </c>
      <c r="T31" s="107" t="s">
        <v>77</v>
      </c>
      <c r="U31" s="108" t="s">
        <v>600</v>
      </c>
      <c r="V31" s="106" t="s">
        <v>601</v>
      </c>
      <c r="W31" s="105" t="s">
        <v>987</v>
      </c>
      <c r="X31" s="106" t="s">
        <v>602</v>
      </c>
      <c r="Y31" s="105" t="s">
        <v>603</v>
      </c>
      <c r="Z31" s="118" t="s">
        <v>604</v>
      </c>
    </row>
    <row r="32" spans="1:26" ht="49.95" customHeight="1">
      <c r="A32" s="87">
        <v>28</v>
      </c>
      <c r="B32" s="16" t="s">
        <v>80</v>
      </c>
      <c r="C32" s="16" t="s">
        <v>40</v>
      </c>
      <c r="D32" s="16" t="s">
        <v>605</v>
      </c>
      <c r="E32" s="16" t="s">
        <v>81</v>
      </c>
      <c r="F32" s="16" t="s">
        <v>440</v>
      </c>
      <c r="G32" s="16" t="s">
        <v>17</v>
      </c>
      <c r="H32" s="17" t="str">
        <f>IF('이동 상세'!H33="","",'이동 상세'!H33)</f>
        <v/>
      </c>
      <c r="I32" s="18" t="str">
        <f>IF('이동 상세'!H33="","",'이동 상세'!I33)</f>
        <v/>
      </c>
      <c r="J32" s="18" t="str">
        <f>IF('이동 상세'!P33="","",'이동 상세'!P33)</f>
        <v/>
      </c>
      <c r="K32" s="18" t="str">
        <f>IF('이동 상세'!Q33="","",'이동 상세'!Q33)</f>
        <v/>
      </c>
      <c r="L32" s="19" t="str">
        <f>IF('이동 상세'!S33="","",'이동 상세'!S33)</f>
        <v/>
      </c>
      <c r="M32" s="74" t="s">
        <v>606</v>
      </c>
      <c r="N32" s="20"/>
      <c r="O32" s="88" t="s">
        <v>955</v>
      </c>
      <c r="P32" s="77"/>
      <c r="Q32" s="117">
        <v>28</v>
      </c>
      <c r="R32" s="104" t="s">
        <v>80</v>
      </c>
      <c r="S32" s="104" t="s">
        <v>605</v>
      </c>
      <c r="T32" s="104" t="s">
        <v>81</v>
      </c>
      <c r="U32" s="106" t="s">
        <v>982</v>
      </c>
      <c r="V32" s="106" t="s">
        <v>607</v>
      </c>
      <c r="W32" s="106" t="s">
        <v>608</v>
      </c>
      <c r="X32" s="106" t="s">
        <v>609</v>
      </c>
      <c r="Y32" s="105" t="s">
        <v>610</v>
      </c>
      <c r="Z32" s="118" t="s">
        <v>1006</v>
      </c>
    </row>
    <row r="33" spans="1:26" ht="49.95" customHeight="1">
      <c r="A33" s="89">
        <v>29</v>
      </c>
      <c r="B33" s="24" t="s">
        <v>82</v>
      </c>
      <c r="C33" s="24" t="s">
        <v>14</v>
      </c>
      <c r="D33" s="24" t="s">
        <v>83</v>
      </c>
      <c r="E33" s="24" t="s">
        <v>81</v>
      </c>
      <c r="F33" s="24" t="s">
        <v>22</v>
      </c>
      <c r="G33" s="24" t="s">
        <v>34</v>
      </c>
      <c r="H33" s="25" t="str">
        <f>IF('이동 상세'!H34="","",'이동 상세'!H34)</f>
        <v/>
      </c>
      <c r="I33" s="26" t="str">
        <f>IF('이동 상세'!H34="","",'이동 상세'!I34)</f>
        <v/>
      </c>
      <c r="J33" s="26" t="str">
        <f>IF('이동 상세'!P34="","",'이동 상세'!P34)</f>
        <v/>
      </c>
      <c r="K33" s="26" t="str">
        <f>IF('이동 상세'!Q34="","",'이동 상세'!Q34)</f>
        <v/>
      </c>
      <c r="L33" s="27" t="str">
        <f>IF('이동 상세'!S34="","",'이동 상세'!S34)</f>
        <v/>
      </c>
      <c r="M33" s="74" t="s">
        <v>611</v>
      </c>
      <c r="N33" s="20"/>
      <c r="O33" s="90" t="s">
        <v>612</v>
      </c>
      <c r="P33" s="78"/>
      <c r="Q33" s="119">
        <v>29</v>
      </c>
      <c r="R33" s="107" t="s">
        <v>82</v>
      </c>
      <c r="S33" s="107" t="s">
        <v>83</v>
      </c>
      <c r="T33" s="107" t="s">
        <v>81</v>
      </c>
      <c r="U33" s="106" t="s">
        <v>613</v>
      </c>
      <c r="V33" s="105" t="s">
        <v>614</v>
      </c>
      <c r="W33" s="105"/>
      <c r="X33" s="105" t="s">
        <v>615</v>
      </c>
      <c r="Y33" s="105" t="s">
        <v>616</v>
      </c>
      <c r="Z33" s="118" t="s">
        <v>617</v>
      </c>
    </row>
    <row r="34" spans="1:26" ht="49.95" customHeight="1">
      <c r="A34" s="87">
        <v>30</v>
      </c>
      <c r="B34" s="16" t="s">
        <v>84</v>
      </c>
      <c r="C34" s="72" t="s">
        <v>21</v>
      </c>
      <c r="D34" s="16" t="s">
        <v>85</v>
      </c>
      <c r="E34" s="16" t="s">
        <v>967</v>
      </c>
      <c r="F34" s="16" t="s">
        <v>452</v>
      </c>
      <c r="G34" s="16" t="s">
        <v>17</v>
      </c>
      <c r="H34" s="17" t="str">
        <f>IF('이동 상세'!H35="","",'이동 상세'!H35)</f>
        <v/>
      </c>
      <c r="I34" s="18" t="str">
        <f>IF('이동 상세'!H35="","",'이동 상세'!I35)</f>
        <v/>
      </c>
      <c r="J34" s="18" t="str">
        <f>IF('이동 상세'!P35="","",'이동 상세'!P35)</f>
        <v/>
      </c>
      <c r="K34" s="18" t="str">
        <f>IF('이동 상세'!Q35="","",'이동 상세'!Q35)</f>
        <v/>
      </c>
      <c r="L34" s="19" t="str">
        <f>IF('이동 상세'!S35="","",'이동 상세'!S35)</f>
        <v/>
      </c>
      <c r="M34" s="74" t="s">
        <v>937</v>
      </c>
      <c r="N34" s="20"/>
      <c r="O34" s="88" t="s">
        <v>956</v>
      </c>
      <c r="P34" s="77"/>
      <c r="Q34" s="117">
        <v>30</v>
      </c>
      <c r="R34" s="104" t="s">
        <v>84</v>
      </c>
      <c r="S34" s="104" t="s">
        <v>85</v>
      </c>
      <c r="T34" s="104" t="s">
        <v>966</v>
      </c>
      <c r="U34" s="108" t="s">
        <v>619</v>
      </c>
      <c r="V34" s="106" t="s">
        <v>620</v>
      </c>
      <c r="W34" s="105"/>
      <c r="X34" s="105" t="s">
        <v>621</v>
      </c>
      <c r="Y34" s="106" t="s">
        <v>622</v>
      </c>
      <c r="Z34" s="118" t="s">
        <v>1007</v>
      </c>
    </row>
    <row r="35" spans="1:26" ht="49.95" customHeight="1" thickBot="1">
      <c r="A35" s="93">
        <v>31</v>
      </c>
      <c r="B35" s="94" t="s">
        <v>86</v>
      </c>
      <c r="C35" s="95" t="s">
        <v>25</v>
      </c>
      <c r="D35" s="94" t="s">
        <v>87</v>
      </c>
      <c r="E35" s="94" t="s">
        <v>87</v>
      </c>
      <c r="F35" s="94" t="s">
        <v>87</v>
      </c>
      <c r="G35" s="94" t="s">
        <v>88</v>
      </c>
      <c r="H35" s="96" t="str">
        <f>IF('이동 상세'!H36="","",'이동 상세'!H36)</f>
        <v/>
      </c>
      <c r="I35" s="97" t="str">
        <f>IF('이동 상세'!H36="","",'이동 상세'!I36)</f>
        <v/>
      </c>
      <c r="J35" s="97" t="str">
        <f>IF('이동 상세'!P36="","",'이동 상세'!P36)</f>
        <v/>
      </c>
      <c r="K35" s="97" t="str">
        <f>IF('이동 상세'!Q36="","",'이동 상세'!Q36)</f>
        <v/>
      </c>
      <c r="L35" s="98" t="str">
        <f>IF('이동 상세'!S36="","",'이동 상세'!S36)</f>
        <v/>
      </c>
      <c r="M35" s="99" t="s">
        <v>88</v>
      </c>
      <c r="N35" s="100"/>
      <c r="O35" s="101" t="s">
        <v>957</v>
      </c>
      <c r="P35" s="77"/>
      <c r="Q35" s="121">
        <v>31</v>
      </c>
      <c r="R35" s="122" t="s">
        <v>86</v>
      </c>
      <c r="S35" s="122" t="s">
        <v>87</v>
      </c>
      <c r="T35" s="122" t="s">
        <v>87</v>
      </c>
      <c r="U35" s="123"/>
      <c r="V35" s="123"/>
      <c r="W35" s="123"/>
      <c r="X35" s="123"/>
      <c r="Y35" s="123"/>
      <c r="Z35" s="124" t="s">
        <v>623</v>
      </c>
    </row>
    <row r="37" spans="1:26">
      <c r="A37" s="35" t="s">
        <v>89</v>
      </c>
    </row>
    <row r="38" spans="1:26">
      <c r="A38" s="36" t="s">
        <v>624</v>
      </c>
      <c r="B38" s="36"/>
      <c r="C38" s="36"/>
      <c r="D38" s="36"/>
      <c r="E38" s="37">
        <f>COUNT('이동 상세'!H6:H36)</f>
        <v>19</v>
      </c>
    </row>
    <row r="39" spans="1:26">
      <c r="A39" s="36" t="s">
        <v>625</v>
      </c>
      <c r="B39" s="36"/>
      <c r="C39" s="36"/>
      <c r="D39" s="36"/>
      <c r="E39" s="38">
        <f>SUM('이동 상세'!H6:H36)</f>
        <v>353.50000000000006</v>
      </c>
    </row>
    <row r="40" spans="1:26">
      <c r="A40" s="36" t="s">
        <v>626</v>
      </c>
      <c r="B40" s="36"/>
      <c r="C40" s="36"/>
      <c r="D40" s="36"/>
      <c r="E40" s="38">
        <f>AVERAGE('이동 상세'!H6:H36)</f>
        <v>18.60526315789474</v>
      </c>
    </row>
    <row r="41" spans="1:26">
      <c r="A41" s="36" t="s">
        <v>90</v>
      </c>
      <c r="B41" s="36"/>
      <c r="C41" s="36"/>
      <c r="D41" s="36"/>
      <c r="E41" s="39">
        <f>AVERAGE('이동 상세'!H6:H36)/'이동 상세'!$C$2/24</f>
        <v>0.19380482456140355</v>
      </c>
    </row>
    <row r="42" spans="1:26">
      <c r="A42" s="36" t="s">
        <v>627</v>
      </c>
      <c r="B42" s="36"/>
      <c r="C42" s="36"/>
      <c r="D42" s="36"/>
      <c r="E42" s="38">
        <f>MAX('이동 상세'!H6:H36)</f>
        <v>26.3</v>
      </c>
    </row>
    <row r="43" spans="1:26">
      <c r="A43" s="36" t="s">
        <v>628</v>
      </c>
      <c r="B43" s="36"/>
      <c r="C43" s="36"/>
      <c r="D43" s="36"/>
      <c r="E43" s="40">
        <f>COUNT('이동 상세'!L6:L36)</f>
        <v>12</v>
      </c>
    </row>
    <row r="44" spans="1:26">
      <c r="A44" s="36" t="s">
        <v>629</v>
      </c>
      <c r="B44" s="36"/>
      <c r="C44" s="36"/>
      <c r="D44" s="36"/>
      <c r="E44" s="40">
        <f>SUM('이동 상세'!K6:K36)</f>
        <v>365.8</v>
      </c>
    </row>
    <row r="45" spans="1:26">
      <c r="A45" s="36" t="s">
        <v>630</v>
      </c>
      <c r="B45" s="36"/>
      <c r="C45" s="36"/>
      <c r="D45" s="36"/>
      <c r="E45" s="40">
        <f>SUM('이동 상세'!L6:L36)</f>
        <v>450</v>
      </c>
    </row>
    <row r="46" spans="1:26">
      <c r="A46" s="36" t="s">
        <v>631</v>
      </c>
      <c r="B46" s="36"/>
      <c r="C46" s="36"/>
      <c r="D46" s="36"/>
      <c r="E46" s="41">
        <f>AVERAGE('이동 상세'!K6:K36)</f>
        <v>30.483333333333334</v>
      </c>
    </row>
    <row r="47" spans="1:26">
      <c r="A47" s="36" t="s">
        <v>632</v>
      </c>
      <c r="B47" s="36"/>
      <c r="C47" s="36"/>
      <c r="D47" s="36"/>
      <c r="E47" s="40">
        <f>AVERAGE('이동 상세'!L6:L36)</f>
        <v>37.5</v>
      </c>
    </row>
    <row r="48" spans="1:26">
      <c r="A48" s="36" t="s">
        <v>633</v>
      </c>
      <c r="B48" s="36"/>
      <c r="C48" s="36"/>
      <c r="D48" s="36"/>
      <c r="E48" s="40">
        <f>SUM('이동 상세'!M6:M36)</f>
        <v>15</v>
      </c>
    </row>
    <row r="49" spans="1:5">
      <c r="A49" s="36" t="s">
        <v>634</v>
      </c>
      <c r="B49" s="36"/>
      <c r="C49" s="36"/>
      <c r="D49" s="36"/>
      <c r="E49" s="40">
        <f>IFERROR(SUM('이동 상세'!L6:L36)/SUM('이동 상세'!M6:M36),0)</f>
        <v>30</v>
      </c>
    </row>
    <row r="50" spans="1:5">
      <c r="A50" s="36" t="s">
        <v>635</v>
      </c>
      <c r="B50" s="36"/>
      <c r="C50" s="36"/>
      <c r="D50" s="36"/>
      <c r="E50" s="42">
        <f>SUM('이동 상세'!N6:N36)</f>
        <v>12240</v>
      </c>
    </row>
    <row r="51" spans="1:5">
      <c r="A51" s="36" t="s">
        <v>636</v>
      </c>
      <c r="B51" s="36"/>
      <c r="C51" s="36"/>
      <c r="D51" s="36"/>
      <c r="E51" s="42">
        <f>SUM('이동 상세'!N6:N36)*'이동 상세'!$C$3</f>
        <v>103366.8</v>
      </c>
    </row>
    <row r="52" spans="1:5">
      <c r="A52" s="36" t="s">
        <v>637</v>
      </c>
      <c r="B52" s="36"/>
      <c r="C52" s="36"/>
      <c r="D52" s="36"/>
      <c r="E52" s="42" t="e">
        <f>SUMPRODUCT('이동 상세'!#REF!,'이동 상세'!V6:V36)</f>
        <v>#REF!</v>
      </c>
    </row>
    <row r="53" spans="1:5">
      <c r="A53" s="36" t="s">
        <v>638</v>
      </c>
      <c r="B53" s="36"/>
      <c r="C53" s="36"/>
      <c r="D53" s="36"/>
      <c r="E53" s="40">
        <f>SUM('이동 상세'!V6:V36)</f>
        <v>30</v>
      </c>
    </row>
    <row r="55" spans="1:5">
      <c r="A55" s="43" t="s">
        <v>91</v>
      </c>
    </row>
    <row r="56" spans="1:5">
      <c r="A56" s="44" t="s">
        <v>639</v>
      </c>
    </row>
    <row r="57" spans="1:5">
      <c r="A57" s="44" t="s">
        <v>640</v>
      </c>
    </row>
    <row r="58" spans="1:5">
      <c r="A58" s="44" t="s">
        <v>641</v>
      </c>
    </row>
    <row r="59" spans="1:5">
      <c r="A59" s="44" t="s">
        <v>642</v>
      </c>
    </row>
    <row r="60" spans="1:5">
      <c r="A60" s="44" t="s">
        <v>643</v>
      </c>
    </row>
    <row r="61" spans="1:5">
      <c r="A61" s="44" t="s">
        <v>644</v>
      </c>
    </row>
    <row r="62" spans="1:5">
      <c r="A62" s="44" t="s">
        <v>645</v>
      </c>
    </row>
    <row r="63" spans="1:5">
      <c r="A63" s="44" t="s">
        <v>646</v>
      </c>
    </row>
    <row r="64" spans="1:5">
      <c r="A64" s="44" t="s">
        <v>647</v>
      </c>
    </row>
    <row r="65" spans="1:1">
      <c r="A65" s="44" t="s">
        <v>648</v>
      </c>
    </row>
    <row r="66" spans="1:1">
      <c r="A66" s="44" t="s">
        <v>649</v>
      </c>
    </row>
    <row r="67" spans="1:1">
      <c r="A67" s="44" t="s">
        <v>650</v>
      </c>
    </row>
    <row r="68" spans="1:1">
      <c r="A68" s="44" t="s">
        <v>651</v>
      </c>
    </row>
    <row r="69" spans="1:1">
      <c r="A69" s="44" t="s">
        <v>652</v>
      </c>
    </row>
    <row r="70" spans="1:1">
      <c r="A70" s="44" t="s">
        <v>653</v>
      </c>
    </row>
    <row r="71" spans="1:1">
      <c r="A71" s="44" t="s">
        <v>654</v>
      </c>
    </row>
    <row r="72" spans="1:1">
      <c r="A72" s="44" t="s">
        <v>655</v>
      </c>
    </row>
  </sheetData>
  <mergeCells count="18">
    <mergeCell ref="A53:D53"/>
    <mergeCell ref="A1:O1"/>
    <mergeCell ref="A2:O2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</mergeCells>
  <phoneticPr fontId="31" type="noConversion"/>
  <conditionalFormatting sqref="L5:L35">
    <cfRule type="expression" dxfId="1" priority="2">
      <formula>AND(L5&lt;&gt;"",L5&lt;1.5/24)</formula>
    </cfRule>
  </conditionalFormatting>
  <pageMargins left="0.23622047244094491" right="0.23622047244094491" top="0" bottom="0.74803149606299213" header="0.31496062992125984" footer="0.31496062992125984"/>
  <pageSetup paperSize="9" scale="16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4"/>
  <sheetViews>
    <sheetView topLeftCell="A24" zoomScale="85" zoomScaleNormal="85" workbookViewId="0">
      <selection activeCell="C2" sqref="C2"/>
    </sheetView>
  </sheetViews>
  <sheetFormatPr defaultColWidth="8.6640625" defaultRowHeight="13.8"/>
  <cols>
    <col min="1" max="1" width="6" style="14" customWidth="1"/>
    <col min="2" max="2" width="8" style="14" customWidth="1"/>
    <col min="3" max="3" width="6" style="14" customWidth="1"/>
    <col min="4" max="4" width="11.44140625" style="73" customWidth="1"/>
    <col min="5" max="5" width="14.88671875" style="73" customWidth="1"/>
    <col min="6" max="6" width="14" style="73" customWidth="1"/>
    <col min="7" max="7" width="54.33203125" style="14" customWidth="1"/>
    <col min="8" max="9" width="7.77734375" style="14" customWidth="1"/>
    <col min="10" max="10" width="52" style="14" customWidth="1"/>
    <col min="11" max="14" width="7.77734375" style="14" customWidth="1"/>
    <col min="15" max="15" width="51.5546875" style="14" customWidth="1"/>
    <col min="16" max="19" width="10" style="14" customWidth="1"/>
    <col min="20" max="21" width="34" style="14" customWidth="1"/>
    <col min="22" max="22" width="7" style="14" customWidth="1"/>
    <col min="23" max="23" width="16" style="14" customWidth="1"/>
    <col min="24" max="16384" width="8.6640625" style="14"/>
  </cols>
  <sheetData>
    <row r="1" spans="1:23" ht="21">
      <c r="A1" s="102" t="s">
        <v>656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3">
      <c r="A2" s="46" t="s">
        <v>657</v>
      </c>
      <c r="C2" s="47">
        <v>4</v>
      </c>
      <c r="D2" s="147" t="s">
        <v>658</v>
      </c>
    </row>
    <row r="3" spans="1:23">
      <c r="A3" s="46" t="s">
        <v>659</v>
      </c>
      <c r="C3" s="47">
        <v>8.4450000000000003</v>
      </c>
      <c r="D3" s="147" t="s">
        <v>660</v>
      </c>
    </row>
    <row r="4" spans="1:23" ht="14.4" thickBot="1">
      <c r="A4" s="46" t="s">
        <v>92</v>
      </c>
      <c r="D4" s="147" t="s">
        <v>661</v>
      </c>
    </row>
    <row r="5" spans="1:23" s="126" customFormat="1" ht="36" customHeight="1">
      <c r="A5" s="148" t="s">
        <v>0</v>
      </c>
      <c r="B5" s="149" t="s">
        <v>1</v>
      </c>
      <c r="C5" s="149" t="s">
        <v>2</v>
      </c>
      <c r="D5" s="149" t="s">
        <v>3</v>
      </c>
      <c r="E5" s="149" t="s">
        <v>4</v>
      </c>
      <c r="F5" s="149" t="s">
        <v>6</v>
      </c>
      <c r="G5" s="150" t="s">
        <v>662</v>
      </c>
      <c r="H5" s="150" t="s">
        <v>663</v>
      </c>
      <c r="I5" s="150" t="s">
        <v>93</v>
      </c>
      <c r="J5" s="151" t="s">
        <v>664</v>
      </c>
      <c r="K5" s="151" t="s">
        <v>665</v>
      </c>
      <c r="L5" s="151" t="s">
        <v>666</v>
      </c>
      <c r="M5" s="151" t="s">
        <v>94</v>
      </c>
      <c r="N5" s="151" t="s">
        <v>667</v>
      </c>
      <c r="O5" s="149" t="s">
        <v>12</v>
      </c>
      <c r="P5" s="152" t="s">
        <v>668</v>
      </c>
      <c r="Q5" s="152" t="s">
        <v>669</v>
      </c>
      <c r="R5" s="153" t="s">
        <v>1013</v>
      </c>
      <c r="S5" s="153" t="s">
        <v>8</v>
      </c>
      <c r="T5" s="154" t="s">
        <v>670</v>
      </c>
      <c r="U5" s="154" t="s">
        <v>671</v>
      </c>
      <c r="V5" s="154" t="s">
        <v>5</v>
      </c>
      <c r="W5" s="155" t="s">
        <v>1014</v>
      </c>
    </row>
    <row r="6" spans="1:23" s="126" customFormat="1" ht="40.049999999999997" customHeight="1">
      <c r="A6" s="156">
        <v>1</v>
      </c>
      <c r="B6" s="127" t="s">
        <v>13</v>
      </c>
      <c r="C6" s="127" t="s">
        <v>14</v>
      </c>
      <c r="D6" s="127" t="s">
        <v>15</v>
      </c>
      <c r="E6" s="127" t="s">
        <v>16</v>
      </c>
      <c r="F6" s="127" t="s">
        <v>17</v>
      </c>
      <c r="G6" s="128"/>
      <c r="H6" s="129"/>
      <c r="I6" s="130" t="str">
        <f t="shared" ref="I6:I36" si="0">IF(H6="","",H6/$C$2/24)</f>
        <v/>
      </c>
      <c r="J6" s="22" t="s">
        <v>672</v>
      </c>
      <c r="K6" s="131">
        <v>15</v>
      </c>
      <c r="L6" s="132">
        <v>15</v>
      </c>
      <c r="M6" s="132">
        <v>1</v>
      </c>
      <c r="N6" s="133">
        <v>330</v>
      </c>
      <c r="O6" s="23"/>
      <c r="P6" s="134"/>
      <c r="Q6" s="134"/>
      <c r="R6" s="134"/>
      <c r="S6" s="134"/>
      <c r="T6" s="125" t="s">
        <v>1015</v>
      </c>
      <c r="U6" s="51" t="s">
        <v>1016</v>
      </c>
      <c r="V6" s="135">
        <v>2</v>
      </c>
      <c r="W6" s="157" t="s">
        <v>95</v>
      </c>
    </row>
    <row r="7" spans="1:23" s="126" customFormat="1" ht="40.049999999999997" customHeight="1">
      <c r="A7" s="158">
        <v>2</v>
      </c>
      <c r="B7" s="136" t="s">
        <v>20</v>
      </c>
      <c r="C7" s="136" t="s">
        <v>21</v>
      </c>
      <c r="D7" s="136" t="s">
        <v>15</v>
      </c>
      <c r="E7" s="136" t="s">
        <v>16</v>
      </c>
      <c r="F7" s="136" t="s">
        <v>23</v>
      </c>
      <c r="G7" s="128"/>
      <c r="H7" s="129"/>
      <c r="I7" s="130" t="str">
        <f t="shared" si="0"/>
        <v/>
      </c>
      <c r="J7" s="22" t="s">
        <v>673</v>
      </c>
      <c r="K7" s="131"/>
      <c r="L7" s="132"/>
      <c r="M7" s="132">
        <v>0</v>
      </c>
      <c r="N7" s="133">
        <v>800</v>
      </c>
      <c r="O7" s="23" t="s">
        <v>674</v>
      </c>
      <c r="P7" s="134"/>
      <c r="Q7" s="134"/>
      <c r="R7" s="134"/>
      <c r="S7" s="134"/>
      <c r="T7" s="137" t="s">
        <v>675</v>
      </c>
      <c r="U7" s="137"/>
      <c r="V7" s="137"/>
      <c r="W7" s="159"/>
    </row>
    <row r="8" spans="1:23" s="126" customFormat="1" ht="40.049999999999997" customHeight="1">
      <c r="A8" s="160">
        <v>3</v>
      </c>
      <c r="B8" s="138" t="s">
        <v>24</v>
      </c>
      <c r="C8" s="138" t="s">
        <v>25</v>
      </c>
      <c r="D8" s="138" t="s">
        <v>451</v>
      </c>
      <c r="E8" s="138" t="s">
        <v>26</v>
      </c>
      <c r="F8" s="138" t="s">
        <v>453</v>
      </c>
      <c r="G8" s="139" t="str">
        <f>HYPERLINK('경로 좌표'!N6,"오이소 → 오다와라 (호텔 포쉬)")</f>
        <v>오이소 → 오다와라 (호텔 포쉬)</v>
      </c>
      <c r="H8" s="129">
        <v>16.899999999999999</v>
      </c>
      <c r="I8" s="130">
        <f t="shared" si="0"/>
        <v>0.17604166666666665</v>
      </c>
      <c r="J8" s="22" t="s">
        <v>676</v>
      </c>
      <c r="K8" s="131">
        <v>61</v>
      </c>
      <c r="L8" s="132">
        <v>55</v>
      </c>
      <c r="M8" s="132">
        <v>1</v>
      </c>
      <c r="N8" s="133">
        <v>1100</v>
      </c>
      <c r="O8" s="23"/>
      <c r="P8" s="140">
        <v>0.35416666666666702</v>
      </c>
      <c r="Q8" s="141">
        <f>P8+I8+1/24</f>
        <v>0.57187500000000024</v>
      </c>
      <c r="R8" s="142">
        <v>0.68811</v>
      </c>
      <c r="S8" s="143">
        <f>R8-Q8</f>
        <v>0.11623499999999976</v>
      </c>
      <c r="T8" s="51" t="s">
        <v>1017</v>
      </c>
      <c r="U8" s="125" t="s">
        <v>1018</v>
      </c>
      <c r="V8" s="135">
        <v>1</v>
      </c>
      <c r="W8" s="157" t="s">
        <v>95</v>
      </c>
    </row>
    <row r="9" spans="1:23" s="126" customFormat="1" ht="40.049999999999997" customHeight="1">
      <c r="A9" s="160">
        <v>4</v>
      </c>
      <c r="B9" s="138" t="s">
        <v>28</v>
      </c>
      <c r="C9" s="138" t="s">
        <v>29</v>
      </c>
      <c r="D9" s="138" t="s">
        <v>451</v>
      </c>
      <c r="E9" s="138" t="s">
        <v>1008</v>
      </c>
      <c r="F9" s="138" t="s">
        <v>30</v>
      </c>
      <c r="G9" s="139" t="str">
        <f>HYPERLINK('경로 좌표'!N7,"오다와라 → 하코네 옛 돌길 → 아마자케차야 → 모토하코네 (RoheN)")</f>
        <v>오다와라 → 하코네 옛 돌길 → 아마자케차야 → 모토하코네 (RoheN)</v>
      </c>
      <c r="H9" s="144">
        <v>16.899999999999999</v>
      </c>
      <c r="I9" s="130">
        <f t="shared" si="0"/>
        <v>0.17604166666666665</v>
      </c>
      <c r="J9" s="22"/>
      <c r="K9" s="131"/>
      <c r="L9" s="132"/>
      <c r="M9" s="132">
        <v>0</v>
      </c>
      <c r="N9" s="133"/>
      <c r="O9" s="23" t="s">
        <v>677</v>
      </c>
      <c r="P9" s="145">
        <v>0.33333333333333298</v>
      </c>
      <c r="Q9" s="146">
        <f>P9+I9+1.5/24</f>
        <v>0.57187499999999969</v>
      </c>
      <c r="R9" s="142">
        <v>0.68855999999999995</v>
      </c>
      <c r="S9" s="143">
        <f>R9-Q9</f>
        <v>0.11668500000000026</v>
      </c>
      <c r="T9" s="125" t="s">
        <v>1019</v>
      </c>
      <c r="U9" s="51" t="s">
        <v>1020</v>
      </c>
      <c r="V9" s="135">
        <v>2</v>
      </c>
      <c r="W9" s="157" t="s">
        <v>95</v>
      </c>
    </row>
    <row r="10" spans="1:23" s="126" customFormat="1" ht="40.049999999999997" customHeight="1">
      <c r="A10" s="158">
        <v>5</v>
      </c>
      <c r="B10" s="136" t="s">
        <v>32</v>
      </c>
      <c r="C10" s="136" t="s">
        <v>33</v>
      </c>
      <c r="D10" s="136" t="s">
        <v>451</v>
      </c>
      <c r="E10" s="136" t="s">
        <v>959</v>
      </c>
      <c r="F10" s="136" t="s">
        <v>34</v>
      </c>
      <c r="G10" s="128"/>
      <c r="H10" s="129"/>
      <c r="I10" s="130" t="str">
        <f t="shared" si="0"/>
        <v/>
      </c>
      <c r="J10" s="22"/>
      <c r="K10" s="131"/>
      <c r="L10" s="132"/>
      <c r="M10" s="132">
        <v>0</v>
      </c>
      <c r="N10" s="133"/>
      <c r="O10" s="23" t="s">
        <v>1010</v>
      </c>
      <c r="P10" s="134"/>
      <c r="Q10" s="134"/>
      <c r="R10" s="134"/>
      <c r="S10" s="134"/>
      <c r="T10" s="137" t="s">
        <v>675</v>
      </c>
      <c r="U10" s="137"/>
      <c r="V10" s="137"/>
      <c r="W10" s="159"/>
    </row>
    <row r="11" spans="1:23" s="126" customFormat="1" ht="40.049999999999997" customHeight="1">
      <c r="A11" s="160">
        <v>6</v>
      </c>
      <c r="B11" s="138" t="s">
        <v>35</v>
      </c>
      <c r="C11" s="138" t="s">
        <v>36</v>
      </c>
      <c r="D11" s="138" t="s">
        <v>451</v>
      </c>
      <c r="E11" s="138" t="s">
        <v>37</v>
      </c>
      <c r="F11" s="138" t="s">
        <v>30</v>
      </c>
      <c r="G11" s="139" t="str">
        <f>HYPERLINK('경로 좌표'!N8,"모토하코네 → 하코네 관소 → 하코네 고개 → 야마나카성터 → 미시마")</f>
        <v>모토하코네 → 하코네 관소 → 하코네 고개 → 야마나카성터 → 미시마</v>
      </c>
      <c r="H11" s="144">
        <v>18.399999999999999</v>
      </c>
      <c r="I11" s="130">
        <f t="shared" si="0"/>
        <v>0.19166666666666665</v>
      </c>
      <c r="J11" s="22"/>
      <c r="K11" s="131"/>
      <c r="L11" s="132"/>
      <c r="M11" s="132">
        <v>0</v>
      </c>
      <c r="N11" s="133"/>
      <c r="O11" s="23" t="s">
        <v>1011</v>
      </c>
      <c r="P11" s="145">
        <v>0.33333333333333298</v>
      </c>
      <c r="Q11" s="146">
        <f>P11+I11+1.5/24</f>
        <v>0.58749999999999969</v>
      </c>
      <c r="R11" s="142">
        <v>0.68915000000000004</v>
      </c>
      <c r="S11" s="143">
        <f>R11-Q11</f>
        <v>0.10165000000000035</v>
      </c>
      <c r="T11" s="51" t="s">
        <v>1022</v>
      </c>
      <c r="U11" s="125" t="s">
        <v>1021</v>
      </c>
      <c r="V11" s="135">
        <v>1</v>
      </c>
      <c r="W11" s="157" t="s">
        <v>95</v>
      </c>
    </row>
    <row r="12" spans="1:23" s="126" customFormat="1" ht="40.049999999999997" customHeight="1">
      <c r="A12" s="160">
        <v>7</v>
      </c>
      <c r="B12" s="138" t="s">
        <v>39</v>
      </c>
      <c r="C12" s="138" t="s">
        <v>40</v>
      </c>
      <c r="D12" s="138" t="s">
        <v>451</v>
      </c>
      <c r="E12" s="138" t="s">
        <v>41</v>
      </c>
      <c r="F12" s="138" t="s">
        <v>30</v>
      </c>
      <c r="G12" s="139" t="str">
        <f>HYPERLINK('경로 좌표'!N9,"미시마 → 누마즈 → 센본마쓰바라 → 하라 → 요시와라 (호텔 니시무라)")</f>
        <v>미시마 → 누마즈 → 센본마쓰바라 → 하라 → 요시와라 (호텔 니시무라)</v>
      </c>
      <c r="H12" s="144">
        <v>26.3</v>
      </c>
      <c r="I12" s="130">
        <f t="shared" si="0"/>
        <v>0.27395833333333336</v>
      </c>
      <c r="J12" s="22"/>
      <c r="K12" s="131"/>
      <c r="L12" s="132"/>
      <c r="M12" s="132">
        <v>0</v>
      </c>
      <c r="N12" s="133"/>
      <c r="O12" s="23" t="s">
        <v>96</v>
      </c>
      <c r="P12" s="140">
        <v>0.29166666666666702</v>
      </c>
      <c r="Q12" s="141">
        <f>P12+I12+1/24</f>
        <v>0.60729166666666701</v>
      </c>
      <c r="R12" s="142">
        <v>0.68981000000000003</v>
      </c>
      <c r="S12" s="143">
        <f>R12-Q12</f>
        <v>8.2518333333333027E-2</v>
      </c>
      <c r="T12" s="125" t="s">
        <v>1023</v>
      </c>
      <c r="U12" s="51" t="s">
        <v>1024</v>
      </c>
      <c r="V12" s="135">
        <v>1</v>
      </c>
      <c r="W12" s="157" t="s">
        <v>95</v>
      </c>
    </row>
    <row r="13" spans="1:23" s="126" customFormat="1" ht="40.049999999999997" customHeight="1">
      <c r="A13" s="160">
        <v>8</v>
      </c>
      <c r="B13" s="138" t="s">
        <v>42</v>
      </c>
      <c r="C13" s="138" t="s">
        <v>14</v>
      </c>
      <c r="D13" s="138" t="s">
        <v>451</v>
      </c>
      <c r="E13" s="138" t="s">
        <v>43</v>
      </c>
      <c r="F13" s="138" t="s">
        <v>30</v>
      </c>
      <c r="G13" s="139" t="str">
        <f>HYPERLINK('경로 좌표'!N10,"요시와라 → 후지강 다리 → 간바라 → 유이 → 삿타 고개 → 오키쓰")</f>
        <v>요시와라 → 후지강 다리 → 간바라 → 유이 → 삿타 고개 → 오키쓰</v>
      </c>
      <c r="H13" s="144">
        <v>21.5</v>
      </c>
      <c r="I13" s="130">
        <f t="shared" si="0"/>
        <v>0.22395833333333334</v>
      </c>
      <c r="J13" s="22"/>
      <c r="K13" s="131"/>
      <c r="L13" s="132"/>
      <c r="M13" s="132">
        <v>0</v>
      </c>
      <c r="N13" s="133"/>
      <c r="O13" s="23" t="s">
        <v>97</v>
      </c>
      <c r="P13" s="145">
        <v>0.33333333333333298</v>
      </c>
      <c r="Q13" s="146">
        <f>P13+I13+1.5/24</f>
        <v>0.6197916666666663</v>
      </c>
      <c r="R13" s="142">
        <v>0.69050999999999996</v>
      </c>
      <c r="S13" s="143">
        <f>R13-Q13</f>
        <v>7.0718333333333661E-2</v>
      </c>
      <c r="T13" s="125" t="s">
        <v>1025</v>
      </c>
      <c r="U13" s="51" t="s">
        <v>1026</v>
      </c>
      <c r="V13" s="135">
        <v>2</v>
      </c>
      <c r="W13" s="157" t="s">
        <v>95</v>
      </c>
    </row>
    <row r="14" spans="1:23" s="126" customFormat="1" ht="40.049999999999997" customHeight="1">
      <c r="A14" s="158">
        <v>9</v>
      </c>
      <c r="B14" s="136" t="s">
        <v>44</v>
      </c>
      <c r="C14" s="136" t="s">
        <v>21</v>
      </c>
      <c r="D14" s="136" t="s">
        <v>45</v>
      </c>
      <c r="E14" s="136" t="s">
        <v>43</v>
      </c>
      <c r="F14" s="136" t="s">
        <v>34</v>
      </c>
      <c r="G14" s="128"/>
      <c r="H14" s="129"/>
      <c r="I14" s="130" t="str">
        <f t="shared" si="0"/>
        <v/>
      </c>
      <c r="J14" s="22" t="s">
        <v>678</v>
      </c>
      <c r="K14" s="131"/>
      <c r="L14" s="132"/>
      <c r="M14" s="132">
        <v>0</v>
      </c>
      <c r="N14" s="133"/>
      <c r="O14" s="23"/>
      <c r="P14" s="134"/>
      <c r="Q14" s="134"/>
      <c r="R14" s="134"/>
      <c r="S14" s="134"/>
      <c r="T14" s="137" t="s">
        <v>675</v>
      </c>
      <c r="U14" s="137"/>
      <c r="V14" s="137"/>
      <c r="W14" s="159"/>
    </row>
    <row r="15" spans="1:23" s="126" customFormat="1" ht="40.049999999999997" customHeight="1">
      <c r="A15" s="160">
        <v>10</v>
      </c>
      <c r="B15" s="138" t="s">
        <v>46</v>
      </c>
      <c r="C15" s="138" t="s">
        <v>25</v>
      </c>
      <c r="D15" s="138" t="s">
        <v>45</v>
      </c>
      <c r="E15" s="138" t="s">
        <v>45</v>
      </c>
      <c r="F15" s="138" t="s">
        <v>30</v>
      </c>
      <c r="G15" s="139" t="str">
        <f>HYPERLINK('경로 좌표'!N11,"오키쓰 → 에지리 (시미즈) → 구사나기 → 시즈오카 (후추)")</f>
        <v>오키쓰 → 에지리 (시미즈) → 구사나기 → 시즈오카 (후추)</v>
      </c>
      <c r="H15" s="129">
        <v>19.100000000000001</v>
      </c>
      <c r="I15" s="130">
        <f t="shared" si="0"/>
        <v>0.19895833333333335</v>
      </c>
      <c r="J15" s="22"/>
      <c r="K15" s="131"/>
      <c r="L15" s="132"/>
      <c r="M15" s="132">
        <v>0</v>
      </c>
      <c r="N15" s="133"/>
      <c r="O15" s="23" t="s">
        <v>98</v>
      </c>
      <c r="P15" s="140">
        <v>0.35416666666666702</v>
      </c>
      <c r="Q15" s="141">
        <f>P15+I15+1/24</f>
        <v>0.59479166666666694</v>
      </c>
      <c r="R15" s="142">
        <v>0.69135000000000002</v>
      </c>
      <c r="S15" s="143">
        <f>R15-Q15</f>
        <v>9.655833333333308E-2</v>
      </c>
      <c r="T15" s="62" t="s">
        <v>1028</v>
      </c>
      <c r="U15" s="51" t="s">
        <v>1027</v>
      </c>
      <c r="V15" s="135">
        <v>1</v>
      </c>
      <c r="W15" s="157" t="s">
        <v>95</v>
      </c>
    </row>
    <row r="16" spans="1:23" s="126" customFormat="1" ht="40.049999999999997" customHeight="1">
      <c r="A16" s="160">
        <v>11</v>
      </c>
      <c r="B16" s="138" t="s">
        <v>47</v>
      </c>
      <c r="C16" s="138" t="s">
        <v>29</v>
      </c>
      <c r="D16" s="138" t="s">
        <v>45</v>
      </c>
      <c r="E16" s="138" t="s">
        <v>48</v>
      </c>
      <c r="F16" s="138" t="s">
        <v>30</v>
      </c>
      <c r="G16" s="139" t="str">
        <f>HYPERLINK('경로 좌표'!N12,"시즈오카 → 마리코 (조지야 점심) → 우쓰노야 고개 → 오카베 → 후지에다")</f>
        <v>시즈오카 → 마리코 (조지야 점심) → 우쓰노야 고개 → 오카베 → 후지에다</v>
      </c>
      <c r="H16" s="144">
        <v>23.2</v>
      </c>
      <c r="I16" s="130">
        <f t="shared" si="0"/>
        <v>0.24166666666666667</v>
      </c>
      <c r="J16" s="22"/>
      <c r="K16" s="131"/>
      <c r="L16" s="132"/>
      <c r="M16" s="132">
        <v>0</v>
      </c>
      <c r="N16" s="133"/>
      <c r="O16" s="23" t="s">
        <v>99</v>
      </c>
      <c r="P16" s="145">
        <v>0.3125</v>
      </c>
      <c r="Q16" s="146">
        <f>P16+I16+1.5/24</f>
        <v>0.6166666666666667</v>
      </c>
      <c r="R16" s="142">
        <v>0.69211</v>
      </c>
      <c r="S16" s="143">
        <f>R16-Q16</f>
        <v>7.5443333333333307E-2</v>
      </c>
      <c r="T16" s="125" t="s">
        <v>1029</v>
      </c>
      <c r="U16" s="51" t="s">
        <v>679</v>
      </c>
      <c r="V16" s="135">
        <v>1</v>
      </c>
      <c r="W16" s="157" t="s">
        <v>95</v>
      </c>
    </row>
    <row r="17" spans="1:23" s="126" customFormat="1" ht="40.049999999999997" customHeight="1">
      <c r="A17" s="160">
        <v>12</v>
      </c>
      <c r="B17" s="138" t="s">
        <v>49</v>
      </c>
      <c r="C17" s="138" t="s">
        <v>33</v>
      </c>
      <c r="D17" s="138" t="s">
        <v>45</v>
      </c>
      <c r="E17" s="138" t="s">
        <v>50</v>
      </c>
      <c r="F17" s="138" t="s">
        <v>30</v>
      </c>
      <c r="G17" s="139" t="str">
        <f>HYPERLINK('경로 좌표'!N13,"후지에다 → 시마다역")</f>
        <v>후지에다 → 시마다역</v>
      </c>
      <c r="H17" s="129">
        <v>7.8</v>
      </c>
      <c r="I17" s="130">
        <f t="shared" si="0"/>
        <v>8.1250000000000003E-2</v>
      </c>
      <c r="J17" s="22"/>
      <c r="K17" s="131"/>
      <c r="L17" s="132"/>
      <c r="M17" s="132">
        <v>0</v>
      </c>
      <c r="N17" s="133"/>
      <c r="O17" s="23" t="s">
        <v>100</v>
      </c>
      <c r="P17" s="140">
        <v>0.4375</v>
      </c>
      <c r="Q17" s="141">
        <f>P17+I17+1/24</f>
        <v>0.56041666666666667</v>
      </c>
      <c r="R17" s="142">
        <v>0.69255</v>
      </c>
      <c r="S17" s="143">
        <f>R17-Q17</f>
        <v>0.13213333333333332</v>
      </c>
      <c r="T17" s="125" t="s">
        <v>1030</v>
      </c>
      <c r="U17" s="51" t="s">
        <v>680</v>
      </c>
      <c r="V17" s="135">
        <v>1</v>
      </c>
      <c r="W17" s="157" t="s">
        <v>95</v>
      </c>
    </row>
    <row r="18" spans="1:23" s="126" customFormat="1" ht="40.049999999999997" customHeight="1">
      <c r="A18" s="160">
        <v>13</v>
      </c>
      <c r="B18" s="138" t="s">
        <v>51</v>
      </c>
      <c r="C18" s="138" t="s">
        <v>36</v>
      </c>
      <c r="D18" s="138" t="s">
        <v>45</v>
      </c>
      <c r="E18" s="138" t="s">
        <v>52</v>
      </c>
      <c r="F18" s="138" t="s">
        <v>30</v>
      </c>
      <c r="G18" s="139" t="str">
        <f>HYPERLINK('경로 좌표'!N14,"시마다 → 호라이교 → 가나야 돌길 → 닛사카 → 가케가와역")</f>
        <v>시마다 → 호라이교 → 가나야 돌길 → 닛사카 → 가케가와역</v>
      </c>
      <c r="H18" s="144">
        <v>22.6</v>
      </c>
      <c r="I18" s="130">
        <f t="shared" si="0"/>
        <v>0.23541666666666669</v>
      </c>
      <c r="J18" s="22"/>
      <c r="K18" s="131"/>
      <c r="L18" s="132"/>
      <c r="M18" s="132">
        <v>0</v>
      </c>
      <c r="N18" s="133"/>
      <c r="O18" s="23" t="s">
        <v>101</v>
      </c>
      <c r="P18" s="145">
        <v>0.3125</v>
      </c>
      <c r="Q18" s="146">
        <f>P18+I18+1.5/24</f>
        <v>0.61041666666666672</v>
      </c>
      <c r="R18" s="142">
        <v>0.69332000000000005</v>
      </c>
      <c r="S18" s="143">
        <f>R18-Q18</f>
        <v>8.2903333333333329E-2</v>
      </c>
      <c r="T18" s="125" t="s">
        <v>1031</v>
      </c>
      <c r="U18" s="51" t="s">
        <v>681</v>
      </c>
      <c r="V18" s="135">
        <v>1</v>
      </c>
      <c r="W18" s="157" t="s">
        <v>95</v>
      </c>
    </row>
    <row r="19" spans="1:23" s="126" customFormat="1" ht="40.049999999999997" customHeight="1">
      <c r="A19" s="160">
        <v>14</v>
      </c>
      <c r="B19" s="138" t="s">
        <v>53</v>
      </c>
      <c r="C19" s="138" t="s">
        <v>40</v>
      </c>
      <c r="D19" s="138" t="s">
        <v>54</v>
      </c>
      <c r="E19" s="138" t="s">
        <v>516</v>
      </c>
      <c r="F19" s="138" t="s">
        <v>453</v>
      </c>
      <c r="G19" s="139" t="str">
        <f>HYPERLINK('경로 좌표'!N15,"하마마쓰 → 마이사카 → 벤텐지마 → 아라이 관소 → 와시즈 (호숫가 숙소)")</f>
        <v>하마마쓰 → 마이사카 → 벤텐지마 → 아라이 관소 → 와시즈 (호숫가 숙소)</v>
      </c>
      <c r="H19" s="129">
        <v>20.8</v>
      </c>
      <c r="I19" s="130">
        <f t="shared" si="0"/>
        <v>0.21666666666666667</v>
      </c>
      <c r="J19" s="22" t="s">
        <v>682</v>
      </c>
      <c r="K19" s="131">
        <v>27.8</v>
      </c>
      <c r="L19" s="132">
        <v>30</v>
      </c>
      <c r="M19" s="132">
        <v>1</v>
      </c>
      <c r="N19" s="133">
        <v>510</v>
      </c>
      <c r="O19" s="23" t="s">
        <v>683</v>
      </c>
      <c r="P19" s="140">
        <v>0.33333333333333298</v>
      </c>
      <c r="Q19" s="141">
        <f>P19+I19+1/24</f>
        <v>0.59166666666666623</v>
      </c>
      <c r="R19" s="142">
        <v>0.69498000000000004</v>
      </c>
      <c r="S19" s="143">
        <f>R19-Q19</f>
        <v>0.10331333333333381</v>
      </c>
      <c r="T19" s="125" t="s">
        <v>1032</v>
      </c>
      <c r="U19" s="51" t="s">
        <v>684</v>
      </c>
      <c r="V19" s="135">
        <v>2</v>
      </c>
      <c r="W19" s="157" t="s">
        <v>95</v>
      </c>
    </row>
    <row r="20" spans="1:23" s="126" customFormat="1" ht="40.049999999999997" customHeight="1">
      <c r="A20" s="158">
        <v>15</v>
      </c>
      <c r="B20" s="136" t="s">
        <v>55</v>
      </c>
      <c r="C20" s="136" t="s">
        <v>14</v>
      </c>
      <c r="D20" s="136" t="s">
        <v>54</v>
      </c>
      <c r="E20" s="136" t="s">
        <v>516</v>
      </c>
      <c r="F20" s="136" t="s">
        <v>34</v>
      </c>
      <c r="G20" s="128"/>
      <c r="H20" s="129"/>
      <c r="I20" s="130" t="str">
        <f t="shared" si="0"/>
        <v/>
      </c>
      <c r="J20" s="22" t="s">
        <v>685</v>
      </c>
      <c r="K20" s="131"/>
      <c r="L20" s="132"/>
      <c r="M20" s="132">
        <v>0</v>
      </c>
      <c r="N20" s="133"/>
      <c r="O20" s="23"/>
      <c r="P20" s="134"/>
      <c r="Q20" s="134"/>
      <c r="R20" s="134"/>
      <c r="S20" s="134"/>
      <c r="T20" s="137" t="s">
        <v>675</v>
      </c>
      <c r="U20" s="137"/>
      <c r="V20" s="137"/>
      <c r="W20" s="159"/>
    </row>
    <row r="21" spans="1:23" s="126" customFormat="1" ht="40.049999999999997" customHeight="1">
      <c r="A21" s="160">
        <v>16</v>
      </c>
      <c r="B21" s="138" t="s">
        <v>56</v>
      </c>
      <c r="C21" s="138" t="s">
        <v>21</v>
      </c>
      <c r="D21" s="138" t="s">
        <v>57</v>
      </c>
      <c r="E21" s="138" t="s">
        <v>58</v>
      </c>
      <c r="F21" s="138" t="s">
        <v>30</v>
      </c>
      <c r="G21" s="139" t="str">
        <f>HYPERLINK('경로 좌표'!N16,"와시즈 → 시라스카 → 시오미자카 → 후타가와 본진 → 도요하시")</f>
        <v>와시즈 → 시라스카 → 시오미자카 → 후타가와 본진 → 도요하시</v>
      </c>
      <c r="H21" s="144">
        <v>23</v>
      </c>
      <c r="I21" s="130">
        <f t="shared" si="0"/>
        <v>0.23958333333333334</v>
      </c>
      <c r="J21" s="22"/>
      <c r="K21" s="131"/>
      <c r="L21" s="132"/>
      <c r="M21" s="132">
        <v>0</v>
      </c>
      <c r="N21" s="133"/>
      <c r="O21" s="23" t="s">
        <v>102</v>
      </c>
      <c r="P21" s="140">
        <v>0.3125</v>
      </c>
      <c r="Q21" s="141">
        <f>P21+I21+1/24</f>
        <v>0.59375</v>
      </c>
      <c r="R21" s="142">
        <v>0.69588000000000005</v>
      </c>
      <c r="S21" s="143">
        <f>R21-Q21</f>
        <v>0.10213000000000005</v>
      </c>
      <c r="T21" s="125" t="s">
        <v>686</v>
      </c>
      <c r="U21" s="125" t="s">
        <v>687</v>
      </c>
      <c r="V21" s="135">
        <v>2</v>
      </c>
      <c r="W21" s="157" t="s">
        <v>95</v>
      </c>
    </row>
    <row r="22" spans="1:23" s="126" customFormat="1" ht="40.049999999999997" customHeight="1">
      <c r="A22" s="160">
        <v>17</v>
      </c>
      <c r="B22" s="138" t="s">
        <v>59</v>
      </c>
      <c r="C22" s="138" t="s">
        <v>25</v>
      </c>
      <c r="D22" s="138" t="s">
        <v>57</v>
      </c>
      <c r="E22" s="138" t="s">
        <v>58</v>
      </c>
      <c r="F22" s="138" t="s">
        <v>533</v>
      </c>
      <c r="G22" s="139" t="str">
        <f>HYPERLINK('경로 좌표'!N17,"도요하시 → 고유 소나무 가로수길 → 아카사카")</f>
        <v>도요하시 → 고유 소나무 가로수길 → 아카사카</v>
      </c>
      <c r="H22" s="129">
        <v>13.7</v>
      </c>
      <c r="I22" s="130">
        <f t="shared" si="0"/>
        <v>0.14270833333333333</v>
      </c>
      <c r="J22" s="22" t="s">
        <v>688</v>
      </c>
      <c r="K22" s="131">
        <v>11</v>
      </c>
      <c r="L22" s="132">
        <v>18</v>
      </c>
      <c r="M22" s="132">
        <v>1</v>
      </c>
      <c r="N22" s="133">
        <v>400</v>
      </c>
      <c r="O22" s="23"/>
      <c r="P22" s="140">
        <v>0.39583333333333298</v>
      </c>
      <c r="Q22" s="141">
        <f>P22+I22+1/24</f>
        <v>0.58020833333333288</v>
      </c>
      <c r="R22" s="142">
        <v>0.69621</v>
      </c>
      <c r="S22" s="143">
        <f>R22-Q22</f>
        <v>0.11600166666666711</v>
      </c>
      <c r="T22" s="137" t="s">
        <v>675</v>
      </c>
      <c r="U22" s="137"/>
      <c r="V22" s="137"/>
      <c r="W22" s="159"/>
    </row>
    <row r="23" spans="1:23" s="126" customFormat="1" ht="40.049999999999997" customHeight="1">
      <c r="A23" s="160">
        <v>18</v>
      </c>
      <c r="B23" s="138" t="s">
        <v>61</v>
      </c>
      <c r="C23" s="138" t="s">
        <v>29</v>
      </c>
      <c r="D23" s="138" t="s">
        <v>57</v>
      </c>
      <c r="E23" s="138" t="s">
        <v>62</v>
      </c>
      <c r="F23" s="138" t="s">
        <v>453</v>
      </c>
      <c r="G23" s="139" t="str">
        <f>HYPERLINK('경로 좌표'!N18,"아카사카 → 후지카와 → 오카자키성 → 히가시오카자키 (숙소)")</f>
        <v>아카사카 → 후지카와 → 오카자키성 → 히가시오카자키 (숙소)</v>
      </c>
      <c r="H23" s="129">
        <v>19.899999999999999</v>
      </c>
      <c r="I23" s="130">
        <f t="shared" si="0"/>
        <v>0.20729166666666665</v>
      </c>
      <c r="J23" s="22" t="s">
        <v>689</v>
      </c>
      <c r="K23" s="131">
        <v>11</v>
      </c>
      <c r="L23" s="132">
        <v>18</v>
      </c>
      <c r="M23" s="132">
        <v>1</v>
      </c>
      <c r="N23" s="133">
        <v>400</v>
      </c>
      <c r="O23" s="23" t="s">
        <v>103</v>
      </c>
      <c r="P23" s="140">
        <v>0.35416666666666702</v>
      </c>
      <c r="Q23" s="141">
        <f>P23+I23+1/24</f>
        <v>0.60312500000000024</v>
      </c>
      <c r="R23" s="142">
        <v>0.69674000000000003</v>
      </c>
      <c r="S23" s="143">
        <f>R23-Q23</f>
        <v>9.3614999999999782E-2</v>
      </c>
      <c r="T23" s="51" t="s">
        <v>1033</v>
      </c>
      <c r="U23" s="125" t="s">
        <v>1035</v>
      </c>
      <c r="V23" s="135">
        <v>1</v>
      </c>
      <c r="W23" s="157" t="s">
        <v>95</v>
      </c>
    </row>
    <row r="24" spans="1:23" s="126" customFormat="1" ht="40.049999999999997" customHeight="1">
      <c r="A24" s="160">
        <v>19</v>
      </c>
      <c r="B24" s="138" t="s">
        <v>63</v>
      </c>
      <c r="C24" s="138" t="s">
        <v>33</v>
      </c>
      <c r="D24" s="138" t="s">
        <v>64</v>
      </c>
      <c r="E24" s="138" t="s">
        <v>64</v>
      </c>
      <c r="F24" s="138" t="s">
        <v>545</v>
      </c>
      <c r="G24" s="139" t="str">
        <f>HYPERLINK('경로 좌표'!N19,"지류 → 아리마쓰 옛 거리 → 나루미 → 아쓰타 신궁")</f>
        <v>지류 → 아리마쓰 옛 거리 → 나루미 → 아쓰타 신궁</v>
      </c>
      <c r="H24" s="129">
        <v>19.8</v>
      </c>
      <c r="I24" s="130">
        <f t="shared" si="0"/>
        <v>0.20625000000000002</v>
      </c>
      <c r="J24" s="22" t="s">
        <v>690</v>
      </c>
      <c r="K24" s="131">
        <v>16</v>
      </c>
      <c r="L24" s="132">
        <v>22</v>
      </c>
      <c r="M24" s="132">
        <v>2</v>
      </c>
      <c r="N24" s="133">
        <v>620</v>
      </c>
      <c r="O24" s="23" t="s">
        <v>104</v>
      </c>
      <c r="P24" s="140">
        <v>0.35416666666666702</v>
      </c>
      <c r="Q24" s="141">
        <f>P24+I24+1/24</f>
        <v>0.60208333333333364</v>
      </c>
      <c r="R24" s="142">
        <v>0.69750000000000001</v>
      </c>
      <c r="S24" s="143">
        <f>R24-Q24</f>
        <v>9.5416666666666372E-2</v>
      </c>
      <c r="T24" s="125" t="s">
        <v>1034</v>
      </c>
      <c r="U24" s="51" t="s">
        <v>691</v>
      </c>
      <c r="V24" s="135">
        <v>1</v>
      </c>
      <c r="W24" s="157" t="s">
        <v>95</v>
      </c>
    </row>
    <row r="25" spans="1:23" s="126" customFormat="1" ht="40.049999999999997" customHeight="1">
      <c r="A25" s="158">
        <v>20</v>
      </c>
      <c r="B25" s="136" t="s">
        <v>66</v>
      </c>
      <c r="C25" s="136" t="s">
        <v>36</v>
      </c>
      <c r="D25" s="136" t="s">
        <v>64</v>
      </c>
      <c r="E25" s="136" t="s">
        <v>67</v>
      </c>
      <c r="F25" s="136" t="s">
        <v>34</v>
      </c>
      <c r="G25" s="128"/>
      <c r="H25" s="129"/>
      <c r="I25" s="130" t="str">
        <f t="shared" si="0"/>
        <v/>
      </c>
      <c r="J25" s="22" t="s">
        <v>692</v>
      </c>
      <c r="K25" s="131">
        <v>24</v>
      </c>
      <c r="L25" s="132">
        <v>25</v>
      </c>
      <c r="M25" s="132">
        <v>1</v>
      </c>
      <c r="N25" s="133">
        <v>500</v>
      </c>
      <c r="O25" s="23" t="s">
        <v>693</v>
      </c>
      <c r="P25" s="134"/>
      <c r="Q25" s="134"/>
      <c r="R25" s="134"/>
      <c r="S25" s="134"/>
      <c r="T25" s="125" t="s">
        <v>1036</v>
      </c>
      <c r="U25" s="51" t="s">
        <v>694</v>
      </c>
      <c r="V25" s="135">
        <v>1</v>
      </c>
      <c r="W25" s="157" t="s">
        <v>95</v>
      </c>
    </row>
    <row r="26" spans="1:23" s="126" customFormat="1" ht="40.049999999999997" customHeight="1">
      <c r="A26" s="160">
        <v>21</v>
      </c>
      <c r="B26" s="138" t="s">
        <v>68</v>
      </c>
      <c r="C26" s="138" t="s">
        <v>40</v>
      </c>
      <c r="D26" s="138" t="s">
        <v>69</v>
      </c>
      <c r="E26" s="138" t="s">
        <v>963</v>
      </c>
      <c r="F26" s="138" t="s">
        <v>453</v>
      </c>
      <c r="G26" s="139" t="str">
        <f>HYPERLINK('경로 좌표'!N20,"가사도 → 쇼노 → 가메야마 → 세키 입구 (칸데오 호텔)")</f>
        <v>가사도 → 쇼노 → 가메야마 → 세키 입구 (칸데오 호텔)</v>
      </c>
      <c r="H26" s="129">
        <v>13.7</v>
      </c>
      <c r="I26" s="130">
        <f t="shared" si="0"/>
        <v>0.14270833333333333</v>
      </c>
      <c r="J26" s="22" t="s">
        <v>695</v>
      </c>
      <c r="K26" s="131">
        <v>30</v>
      </c>
      <c r="L26" s="132">
        <v>40</v>
      </c>
      <c r="M26" s="132">
        <v>1</v>
      </c>
      <c r="N26" s="133">
        <v>600</v>
      </c>
      <c r="O26" s="23" t="s">
        <v>696</v>
      </c>
      <c r="P26" s="140">
        <v>0.39583333333333298</v>
      </c>
      <c r="Q26" s="141">
        <f>P26+I26+1/24</f>
        <v>0.58020833333333288</v>
      </c>
      <c r="R26" s="142">
        <v>0.70009999999999994</v>
      </c>
      <c r="S26" s="143">
        <f>R26-Q26</f>
        <v>0.11989166666666706</v>
      </c>
      <c r="T26" s="125" t="s">
        <v>697</v>
      </c>
      <c r="U26" s="51" t="s">
        <v>698</v>
      </c>
      <c r="V26" s="135">
        <v>1</v>
      </c>
      <c r="W26" s="157" t="s">
        <v>95</v>
      </c>
    </row>
    <row r="27" spans="1:23" s="126" customFormat="1" ht="40.049999999999997" customHeight="1">
      <c r="A27" s="160">
        <v>22</v>
      </c>
      <c r="B27" s="138" t="s">
        <v>70</v>
      </c>
      <c r="C27" s="138" t="s">
        <v>14</v>
      </c>
      <c r="D27" s="138" t="s">
        <v>71</v>
      </c>
      <c r="E27" s="138" t="s">
        <v>72</v>
      </c>
      <c r="F27" s="138" t="s">
        <v>533</v>
      </c>
      <c r="G27" s="139" t="str">
        <f>HYPERLINK('경로 좌표'!N21,"세키 입구 → 세키주쿠 옛 거리 → 사카시타 → 스즈카 고개 → 쓰치야마")</f>
        <v>세키 입구 → 세키주쿠 옛 거리 → 사카시타 → 스즈카 고개 → 쓰치야마</v>
      </c>
      <c r="H27" s="144">
        <v>18.100000000000001</v>
      </c>
      <c r="I27" s="130">
        <f t="shared" si="0"/>
        <v>0.18854166666666669</v>
      </c>
      <c r="J27" s="22" t="s">
        <v>699</v>
      </c>
      <c r="K27" s="131">
        <v>16</v>
      </c>
      <c r="L27" s="132">
        <v>37</v>
      </c>
      <c r="M27" s="132">
        <v>2</v>
      </c>
      <c r="N27" s="133">
        <v>900</v>
      </c>
      <c r="O27" s="23" t="s">
        <v>700</v>
      </c>
      <c r="P27" s="145">
        <v>0.33333333333333298</v>
      </c>
      <c r="Q27" s="146">
        <f>P27+I27+1.5/24</f>
        <v>0.58437499999999964</v>
      </c>
      <c r="R27" s="142">
        <v>0.70071000000000006</v>
      </c>
      <c r="S27" s="143">
        <f>R27-Q27</f>
        <v>0.11633500000000041</v>
      </c>
      <c r="T27" s="51" t="s">
        <v>701</v>
      </c>
      <c r="U27" s="125" t="s">
        <v>1037</v>
      </c>
      <c r="V27" s="135">
        <v>1</v>
      </c>
      <c r="W27" s="157" t="s">
        <v>95</v>
      </c>
    </row>
    <row r="28" spans="1:23" s="126" customFormat="1" ht="40.049999999999997" customHeight="1">
      <c r="A28" s="160">
        <v>23</v>
      </c>
      <c r="B28" s="138" t="s">
        <v>73</v>
      </c>
      <c r="C28" s="138" t="s">
        <v>21</v>
      </c>
      <c r="D28" s="138" t="s">
        <v>71</v>
      </c>
      <c r="E28" s="138" t="s">
        <v>74</v>
      </c>
      <c r="F28" s="138" t="s">
        <v>30</v>
      </c>
      <c r="G28" s="139" t="str">
        <f>HYPERLINK('경로 좌표'!N22,"미나쿠치 → 이시베 → 구사쓰주쿠 본진 → 구사쓰역")</f>
        <v>미나쿠치 → 이시베 → 구사쓰주쿠 본진 → 구사쓰역</v>
      </c>
      <c r="H28" s="144">
        <v>23.1</v>
      </c>
      <c r="I28" s="130">
        <f t="shared" si="0"/>
        <v>0.24062500000000001</v>
      </c>
      <c r="J28" s="22"/>
      <c r="K28" s="131"/>
      <c r="L28" s="132"/>
      <c r="M28" s="132">
        <v>0</v>
      </c>
      <c r="N28" s="133"/>
      <c r="O28" s="23" t="s">
        <v>105</v>
      </c>
      <c r="P28" s="140">
        <v>0.3125</v>
      </c>
      <c r="Q28" s="141">
        <f>P28+I28+1/24</f>
        <v>0.59479166666666661</v>
      </c>
      <c r="R28" s="142">
        <v>0.70186000000000004</v>
      </c>
      <c r="S28" s="143">
        <f>R28-Q28</f>
        <v>0.10706833333333343</v>
      </c>
      <c r="T28" s="125" t="s">
        <v>1038</v>
      </c>
      <c r="U28" s="51" t="s">
        <v>702</v>
      </c>
      <c r="V28" s="135">
        <v>1</v>
      </c>
      <c r="W28" s="157" t="s">
        <v>95</v>
      </c>
    </row>
    <row r="29" spans="1:23" s="126" customFormat="1" ht="40.049999999999997" customHeight="1">
      <c r="A29" s="160">
        <v>24</v>
      </c>
      <c r="B29" s="138" t="s">
        <v>75</v>
      </c>
      <c r="C29" s="138" t="s">
        <v>25</v>
      </c>
      <c r="D29" s="138" t="s">
        <v>71</v>
      </c>
      <c r="E29" s="138" t="s">
        <v>965</v>
      </c>
      <c r="F29" s="138" t="s">
        <v>30</v>
      </c>
      <c r="G29" s="139" t="str">
        <f>HYPERLINK('경로 좌표'!N23,"구사쓰역 → 세타 가라하시 → 이시야마")</f>
        <v>구사쓰역 → 세타 가라하시 → 이시야마</v>
      </c>
      <c r="H29" s="129">
        <v>9.1</v>
      </c>
      <c r="I29" s="130">
        <f t="shared" si="0"/>
        <v>9.4791666666666663E-2</v>
      </c>
      <c r="J29" s="22"/>
      <c r="K29" s="131"/>
      <c r="L29" s="132"/>
      <c r="M29" s="132">
        <v>0</v>
      </c>
      <c r="N29" s="133"/>
      <c r="O29" s="23" t="s">
        <v>106</v>
      </c>
      <c r="P29" s="140">
        <v>0.4375</v>
      </c>
      <c r="Q29" s="141">
        <f>P29+I29+1/24</f>
        <v>0.57395833333333324</v>
      </c>
      <c r="R29" s="142">
        <v>0.70254000000000005</v>
      </c>
      <c r="S29" s="143">
        <f>R29-Q29</f>
        <v>0.12858166666666682</v>
      </c>
      <c r="T29" s="125" t="s">
        <v>1039</v>
      </c>
      <c r="U29" s="51" t="s">
        <v>703</v>
      </c>
      <c r="V29" s="135">
        <v>1</v>
      </c>
      <c r="W29" s="157" t="s">
        <v>95</v>
      </c>
    </row>
    <row r="30" spans="1:23" s="126" customFormat="1" ht="40.049999999999997" customHeight="1">
      <c r="A30" s="160">
        <v>25</v>
      </c>
      <c r="B30" s="138" t="s">
        <v>76</v>
      </c>
      <c r="C30" s="138" t="s">
        <v>29</v>
      </c>
      <c r="D30" s="138" t="s">
        <v>71</v>
      </c>
      <c r="E30" s="138" t="s">
        <v>77</v>
      </c>
      <c r="F30" s="138" t="s">
        <v>30</v>
      </c>
      <c r="G30" s="139" t="str">
        <f>HYPERLINK('경로 좌표'!N24,"이시야마 → 세타 → 오쓰 → 교토 산조오하시 → 고조 (숙소)")</f>
        <v>이시야마 → 세타 → 오쓰 → 교토 산조오하시 → 고조 (숙소)</v>
      </c>
      <c r="H30" s="129">
        <v>19.600000000000001</v>
      </c>
      <c r="I30" s="130">
        <f t="shared" si="0"/>
        <v>0.20416666666666669</v>
      </c>
      <c r="J30" s="22"/>
      <c r="K30" s="131"/>
      <c r="L30" s="132"/>
      <c r="M30" s="132">
        <v>0</v>
      </c>
      <c r="N30" s="133"/>
      <c r="O30" s="23" t="s">
        <v>704</v>
      </c>
      <c r="P30" s="140">
        <v>0.35416666666666702</v>
      </c>
      <c r="Q30" s="141">
        <f>P30+I30+1/24</f>
        <v>0.60000000000000031</v>
      </c>
      <c r="R30" s="142">
        <v>0.70333000000000001</v>
      </c>
      <c r="S30" s="143">
        <f>R30-Q30</f>
        <v>0.1033299999999997</v>
      </c>
      <c r="T30" s="125" t="s">
        <v>1040</v>
      </c>
      <c r="U30" s="51" t="s">
        <v>705</v>
      </c>
      <c r="V30" s="135">
        <v>3</v>
      </c>
      <c r="W30" s="157" t="s">
        <v>95</v>
      </c>
    </row>
    <row r="31" spans="1:23" s="126" customFormat="1" ht="40.049999999999997" customHeight="1">
      <c r="A31" s="158">
        <v>26</v>
      </c>
      <c r="B31" s="136" t="s">
        <v>78</v>
      </c>
      <c r="C31" s="136" t="s">
        <v>33</v>
      </c>
      <c r="D31" s="136" t="s">
        <v>77</v>
      </c>
      <c r="E31" s="136" t="s">
        <v>77</v>
      </c>
      <c r="F31" s="136" t="s">
        <v>23</v>
      </c>
      <c r="G31" s="128"/>
      <c r="H31" s="129"/>
      <c r="I31" s="130" t="str">
        <f t="shared" si="0"/>
        <v/>
      </c>
      <c r="J31" s="22" t="s">
        <v>706</v>
      </c>
      <c r="K31" s="131"/>
      <c r="L31" s="132"/>
      <c r="M31" s="132">
        <v>0</v>
      </c>
      <c r="N31" s="133"/>
      <c r="O31" s="23"/>
      <c r="P31" s="134"/>
      <c r="Q31" s="134"/>
      <c r="R31" s="134"/>
      <c r="S31" s="134"/>
      <c r="T31" s="137" t="s">
        <v>675</v>
      </c>
      <c r="U31" s="137"/>
      <c r="V31" s="137"/>
      <c r="W31" s="159"/>
    </row>
    <row r="32" spans="1:23" s="126" customFormat="1" ht="40.049999999999997" customHeight="1">
      <c r="A32" s="158">
        <v>27</v>
      </c>
      <c r="B32" s="136" t="s">
        <v>79</v>
      </c>
      <c r="C32" s="136" t="s">
        <v>36</v>
      </c>
      <c r="D32" s="136" t="s">
        <v>77</v>
      </c>
      <c r="E32" s="136" t="s">
        <v>77</v>
      </c>
      <c r="F32" s="136" t="s">
        <v>23</v>
      </c>
      <c r="G32" s="128"/>
      <c r="H32" s="129"/>
      <c r="I32" s="130" t="str">
        <f t="shared" si="0"/>
        <v/>
      </c>
      <c r="J32" s="22" t="s">
        <v>707</v>
      </c>
      <c r="K32" s="131"/>
      <c r="L32" s="132"/>
      <c r="M32" s="132">
        <v>0</v>
      </c>
      <c r="N32" s="133">
        <v>1100</v>
      </c>
      <c r="O32" s="23" t="s">
        <v>708</v>
      </c>
      <c r="P32" s="134"/>
      <c r="Q32" s="134"/>
      <c r="R32" s="134"/>
      <c r="S32" s="134"/>
      <c r="T32" s="137" t="s">
        <v>675</v>
      </c>
      <c r="U32" s="137"/>
      <c r="V32" s="137"/>
      <c r="W32" s="159"/>
    </row>
    <row r="33" spans="1:23" s="126" customFormat="1" ht="40.049999999999997" customHeight="1">
      <c r="A33" s="156">
        <v>28</v>
      </c>
      <c r="B33" s="127" t="s">
        <v>80</v>
      </c>
      <c r="C33" s="127" t="s">
        <v>40</v>
      </c>
      <c r="D33" s="127" t="s">
        <v>605</v>
      </c>
      <c r="E33" s="127" t="s">
        <v>81</v>
      </c>
      <c r="F33" s="127" t="s">
        <v>17</v>
      </c>
      <c r="G33" s="128"/>
      <c r="H33" s="129"/>
      <c r="I33" s="130" t="str">
        <f t="shared" si="0"/>
        <v/>
      </c>
      <c r="J33" s="22" t="s">
        <v>709</v>
      </c>
      <c r="K33" s="131">
        <v>75</v>
      </c>
      <c r="L33" s="132">
        <v>75</v>
      </c>
      <c r="M33" s="132">
        <v>1</v>
      </c>
      <c r="N33" s="133">
        <v>1850</v>
      </c>
      <c r="O33" s="23" t="s">
        <v>1012</v>
      </c>
      <c r="P33" s="134"/>
      <c r="Q33" s="134"/>
      <c r="R33" s="134"/>
      <c r="S33" s="134"/>
      <c r="T33" s="125" t="s">
        <v>1041</v>
      </c>
      <c r="U33" s="51" t="s">
        <v>710</v>
      </c>
      <c r="V33" s="135">
        <v>2</v>
      </c>
      <c r="W33" s="157" t="s">
        <v>95</v>
      </c>
    </row>
    <row r="34" spans="1:23" s="126" customFormat="1" ht="40.049999999999997" customHeight="1">
      <c r="A34" s="158">
        <v>29</v>
      </c>
      <c r="B34" s="136" t="s">
        <v>82</v>
      </c>
      <c r="C34" s="136" t="s">
        <v>14</v>
      </c>
      <c r="D34" s="136" t="s">
        <v>83</v>
      </c>
      <c r="E34" s="136" t="s">
        <v>81</v>
      </c>
      <c r="F34" s="136" t="s">
        <v>34</v>
      </c>
      <c r="G34" s="128"/>
      <c r="H34" s="129"/>
      <c r="I34" s="130" t="str">
        <f t="shared" si="0"/>
        <v/>
      </c>
      <c r="J34" s="22"/>
      <c r="K34" s="131"/>
      <c r="L34" s="132"/>
      <c r="M34" s="132">
        <v>0</v>
      </c>
      <c r="N34" s="133"/>
      <c r="O34" s="23"/>
      <c r="P34" s="134"/>
      <c r="Q34" s="134"/>
      <c r="R34" s="134"/>
      <c r="S34" s="134"/>
      <c r="T34" s="137" t="s">
        <v>675</v>
      </c>
      <c r="U34" s="137"/>
      <c r="V34" s="137"/>
      <c r="W34" s="159"/>
    </row>
    <row r="35" spans="1:23" s="126" customFormat="1" ht="40.049999999999997" customHeight="1">
      <c r="A35" s="156">
        <v>30</v>
      </c>
      <c r="B35" s="127" t="s">
        <v>84</v>
      </c>
      <c r="C35" s="127" t="s">
        <v>21</v>
      </c>
      <c r="D35" s="127" t="s">
        <v>85</v>
      </c>
      <c r="E35" s="127" t="s">
        <v>618</v>
      </c>
      <c r="F35" s="127" t="s">
        <v>17</v>
      </c>
      <c r="G35" s="128"/>
      <c r="H35" s="129"/>
      <c r="I35" s="130" t="str">
        <f t="shared" si="0"/>
        <v/>
      </c>
      <c r="J35" s="22" t="s">
        <v>1009</v>
      </c>
      <c r="K35" s="131">
        <v>36</v>
      </c>
      <c r="L35" s="132">
        <v>75</v>
      </c>
      <c r="M35" s="132">
        <v>2</v>
      </c>
      <c r="N35" s="133">
        <v>1640</v>
      </c>
      <c r="O35" s="23" t="s">
        <v>711</v>
      </c>
      <c r="P35" s="134"/>
      <c r="Q35" s="134"/>
      <c r="R35" s="134"/>
      <c r="S35" s="134"/>
      <c r="T35" s="51" t="s">
        <v>712</v>
      </c>
      <c r="U35" s="125" t="s">
        <v>1042</v>
      </c>
      <c r="V35" s="135">
        <v>1</v>
      </c>
      <c r="W35" s="157" t="s">
        <v>95</v>
      </c>
    </row>
    <row r="36" spans="1:23" s="126" customFormat="1" ht="40.049999999999997" customHeight="1" thickBot="1">
      <c r="A36" s="161">
        <v>31</v>
      </c>
      <c r="B36" s="162" t="s">
        <v>86</v>
      </c>
      <c r="C36" s="162" t="s">
        <v>25</v>
      </c>
      <c r="D36" s="162" t="s">
        <v>87</v>
      </c>
      <c r="E36" s="162" t="s">
        <v>87</v>
      </c>
      <c r="F36" s="162" t="s">
        <v>88</v>
      </c>
      <c r="G36" s="163"/>
      <c r="H36" s="164"/>
      <c r="I36" s="165" t="str">
        <f t="shared" si="0"/>
        <v/>
      </c>
      <c r="J36" s="166" t="s">
        <v>713</v>
      </c>
      <c r="K36" s="167">
        <v>43</v>
      </c>
      <c r="L36" s="168">
        <v>40</v>
      </c>
      <c r="M36" s="168">
        <v>1</v>
      </c>
      <c r="N36" s="169">
        <v>1490</v>
      </c>
      <c r="O36" s="170" t="s">
        <v>714</v>
      </c>
      <c r="P36" s="171"/>
      <c r="Q36" s="171"/>
      <c r="R36" s="171"/>
      <c r="S36" s="171"/>
      <c r="T36" s="172"/>
      <c r="U36" s="172"/>
      <c r="V36" s="172"/>
      <c r="W36" s="173"/>
    </row>
    <row r="38" spans="1:23" ht="15.6">
      <c r="A38" s="52" t="s">
        <v>89</v>
      </c>
    </row>
    <row r="39" spans="1:23">
      <c r="A39" s="53" t="s">
        <v>624</v>
      </c>
      <c r="B39" s="53"/>
      <c r="C39" s="53"/>
      <c r="D39" s="53"/>
      <c r="E39" s="54">
        <f>COUNT(H6:H36)</f>
        <v>19</v>
      </c>
    </row>
    <row r="40" spans="1:23">
      <c r="A40" s="53" t="s">
        <v>625</v>
      </c>
      <c r="B40" s="53"/>
      <c r="C40" s="53"/>
      <c r="D40" s="53"/>
      <c r="E40" s="55">
        <f>SUM(H6:H36)</f>
        <v>353.50000000000006</v>
      </c>
    </row>
    <row r="41" spans="1:23">
      <c r="A41" s="53" t="s">
        <v>626</v>
      </c>
      <c r="B41" s="53"/>
      <c r="C41" s="53"/>
      <c r="D41" s="53"/>
      <c r="E41" s="55">
        <f>AVERAGE(H6:H36)</f>
        <v>18.60526315789474</v>
      </c>
    </row>
    <row r="42" spans="1:23">
      <c r="A42" s="53" t="s">
        <v>90</v>
      </c>
      <c r="B42" s="53"/>
      <c r="C42" s="53"/>
      <c r="D42" s="53"/>
      <c r="E42" s="56">
        <f>AVERAGE(H6:H36)/$C$2/24</f>
        <v>0.19380482456140355</v>
      </c>
    </row>
    <row r="43" spans="1:23">
      <c r="A43" s="53" t="s">
        <v>627</v>
      </c>
      <c r="B43" s="53"/>
      <c r="C43" s="53"/>
      <c r="D43" s="53"/>
      <c r="E43" s="55">
        <f>MAX(H6:H36)</f>
        <v>26.3</v>
      </c>
    </row>
    <row r="44" spans="1:23">
      <c r="A44" s="53" t="s">
        <v>628</v>
      </c>
      <c r="B44" s="53"/>
      <c r="C44" s="53"/>
      <c r="D44" s="53"/>
      <c r="E44" s="57">
        <f>COUNT(L6:L36)</f>
        <v>12</v>
      </c>
    </row>
    <row r="45" spans="1:23">
      <c r="A45" s="53" t="s">
        <v>629</v>
      </c>
      <c r="B45" s="53"/>
      <c r="C45" s="53"/>
      <c r="D45" s="53"/>
      <c r="E45" s="57">
        <f>SUM(K6:K36)</f>
        <v>365.8</v>
      </c>
    </row>
    <row r="46" spans="1:23">
      <c r="A46" s="53" t="s">
        <v>630</v>
      </c>
      <c r="B46" s="53"/>
      <c r="C46" s="53"/>
      <c r="D46" s="53"/>
      <c r="E46" s="57">
        <f>SUM(L6:L36)</f>
        <v>450</v>
      </c>
    </row>
    <row r="47" spans="1:23">
      <c r="A47" s="53" t="s">
        <v>631</v>
      </c>
      <c r="B47" s="53"/>
      <c r="C47" s="53"/>
      <c r="D47" s="53"/>
      <c r="E47" s="58">
        <f>AVERAGE(K6:K36)</f>
        <v>30.483333333333334</v>
      </c>
    </row>
    <row r="48" spans="1:23">
      <c r="A48" s="53" t="s">
        <v>632</v>
      </c>
      <c r="B48" s="53"/>
      <c r="C48" s="53"/>
      <c r="D48" s="53"/>
      <c r="E48" s="57">
        <f>AVERAGE(L6:L36)</f>
        <v>37.5</v>
      </c>
    </row>
    <row r="49" spans="1:5">
      <c r="A49" s="53" t="s">
        <v>633</v>
      </c>
      <c r="B49" s="53"/>
      <c r="C49" s="53"/>
      <c r="D49" s="53"/>
      <c r="E49" s="57">
        <f>SUM(M6:M36)</f>
        <v>15</v>
      </c>
    </row>
    <row r="50" spans="1:5">
      <c r="A50" s="53" t="s">
        <v>634</v>
      </c>
      <c r="B50" s="53"/>
      <c r="C50" s="53"/>
      <c r="D50" s="53"/>
      <c r="E50" s="57">
        <f>IFERROR(SUM(L6:L36)/SUM(M6:M36),0)</f>
        <v>30</v>
      </c>
    </row>
    <row r="51" spans="1:5">
      <c r="A51" s="53" t="s">
        <v>635</v>
      </c>
      <c r="B51" s="53"/>
      <c r="C51" s="53"/>
      <c r="D51" s="53"/>
      <c r="E51" s="59">
        <f>SUM(N6:N36)</f>
        <v>12240</v>
      </c>
    </row>
    <row r="52" spans="1:5">
      <c r="A52" s="53" t="s">
        <v>636</v>
      </c>
      <c r="B52" s="53"/>
      <c r="C52" s="53"/>
      <c r="D52" s="53"/>
      <c r="E52" s="59">
        <f>SUM(N6:N36)*$C$3</f>
        <v>103366.8</v>
      </c>
    </row>
    <row r="53" spans="1:5">
      <c r="A53" s="53" t="s">
        <v>637</v>
      </c>
      <c r="B53" s="53"/>
      <c r="C53" s="53"/>
      <c r="D53" s="53"/>
      <c r="E53" s="59" t="e">
        <f>SUMPRODUCT(#REF!,V6:V36)</f>
        <v>#REF!</v>
      </c>
    </row>
    <row r="54" spans="1:5">
      <c r="A54" s="53" t="s">
        <v>638</v>
      </c>
      <c r="B54" s="53"/>
      <c r="C54" s="53"/>
      <c r="D54" s="53"/>
      <c r="E54" s="57">
        <f>SUM(V6:V36)</f>
        <v>30</v>
      </c>
    </row>
    <row r="56" spans="1:5">
      <c r="A56" s="60" t="s">
        <v>91</v>
      </c>
    </row>
    <row r="57" spans="1:5">
      <c r="A57" s="61" t="s">
        <v>715</v>
      </c>
    </row>
    <row r="58" spans="1:5">
      <c r="A58" s="61" t="s">
        <v>716</v>
      </c>
    </row>
    <row r="59" spans="1:5">
      <c r="A59" s="61" t="s">
        <v>717</v>
      </c>
    </row>
    <row r="60" spans="1:5">
      <c r="A60" s="61" t="s">
        <v>718</v>
      </c>
    </row>
    <row r="61" spans="1:5">
      <c r="A61" s="61" t="s">
        <v>719</v>
      </c>
    </row>
    <row r="62" spans="1:5">
      <c r="A62" s="61" t="s">
        <v>720</v>
      </c>
    </row>
    <row r="63" spans="1:5">
      <c r="A63" s="61" t="s">
        <v>721</v>
      </c>
    </row>
    <row r="64" spans="1:5">
      <c r="A64" s="61" t="s">
        <v>722</v>
      </c>
    </row>
  </sheetData>
  <mergeCells count="17">
    <mergeCell ref="A54:D54"/>
    <mergeCell ref="A1:W1"/>
    <mergeCell ref="A49:D49"/>
    <mergeCell ref="A50:D50"/>
    <mergeCell ref="A51:D51"/>
    <mergeCell ref="A52:D52"/>
    <mergeCell ref="A53:D53"/>
    <mergeCell ref="A44:D44"/>
    <mergeCell ref="A45:D45"/>
    <mergeCell ref="A46:D46"/>
    <mergeCell ref="A47:D47"/>
    <mergeCell ref="A48:D48"/>
    <mergeCell ref="A39:D39"/>
    <mergeCell ref="A40:D40"/>
    <mergeCell ref="A41:D41"/>
    <mergeCell ref="A42:D42"/>
    <mergeCell ref="A43:D43"/>
  </mergeCells>
  <phoneticPr fontId="31" type="noConversion"/>
  <conditionalFormatting sqref="S6:S36">
    <cfRule type="expression" dxfId="0" priority="2">
      <formula>AND(S6&lt;&gt;"",S6&lt;1.5/24)</formula>
    </cfRule>
  </conditionalFormatting>
  <hyperlinks>
    <hyperlink ref="W6" r:id="rId1" xr:uid="{00000000-0004-0000-0100-000000000000}"/>
    <hyperlink ref="W8" r:id="rId2" xr:uid="{00000000-0004-0000-0100-000001000000}"/>
    <hyperlink ref="W9" r:id="rId3" xr:uid="{00000000-0004-0000-0100-000002000000}"/>
    <hyperlink ref="W11" r:id="rId4" xr:uid="{00000000-0004-0000-0100-000003000000}"/>
    <hyperlink ref="W12" r:id="rId5" xr:uid="{00000000-0004-0000-0100-000004000000}"/>
    <hyperlink ref="W13" r:id="rId6" xr:uid="{00000000-0004-0000-0100-000005000000}"/>
    <hyperlink ref="W15" r:id="rId7" xr:uid="{00000000-0004-0000-0100-000006000000}"/>
    <hyperlink ref="W16" r:id="rId8" xr:uid="{00000000-0004-0000-0100-000007000000}"/>
    <hyperlink ref="W17" r:id="rId9" xr:uid="{00000000-0004-0000-0100-000008000000}"/>
    <hyperlink ref="W18" r:id="rId10" xr:uid="{00000000-0004-0000-0100-000009000000}"/>
    <hyperlink ref="W19" r:id="rId11" xr:uid="{00000000-0004-0000-0100-00000A000000}"/>
    <hyperlink ref="W21" r:id="rId12" xr:uid="{00000000-0004-0000-0100-00000B000000}"/>
    <hyperlink ref="W23" r:id="rId13" xr:uid="{00000000-0004-0000-0100-00000C000000}"/>
    <hyperlink ref="W24" r:id="rId14" xr:uid="{00000000-0004-0000-0100-00000D000000}"/>
    <hyperlink ref="W25" r:id="rId15" xr:uid="{00000000-0004-0000-0100-00000E000000}"/>
    <hyperlink ref="W26" r:id="rId16" xr:uid="{00000000-0004-0000-0100-00000F000000}"/>
    <hyperlink ref="W27" r:id="rId17" xr:uid="{00000000-0004-0000-0100-000010000000}"/>
    <hyperlink ref="W28" r:id="rId18" xr:uid="{00000000-0004-0000-0100-000011000000}"/>
    <hyperlink ref="W29" r:id="rId19" xr:uid="{00000000-0004-0000-0100-000012000000}"/>
    <hyperlink ref="W30" r:id="rId20" xr:uid="{00000000-0004-0000-0100-000013000000}"/>
    <hyperlink ref="W33" r:id="rId21" xr:uid="{00000000-0004-0000-0100-000014000000}"/>
    <hyperlink ref="W35" r:id="rId22" xr:uid="{00000000-0004-0000-0100-000015000000}"/>
  </hyperlinks>
  <pageMargins left="0.25" right="0.25" top="0.75" bottom="0.75" header="0.3" footer="0.3"/>
  <pageSetup paperSize="9" scale="36" fitToHeight="0" orientation="landscape" horizontalDpi="300" verticalDpi="300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4"/>
  <sheetViews>
    <sheetView topLeftCell="A13" zoomScaleNormal="100" workbookViewId="0">
      <selection activeCell="A7" sqref="A7"/>
    </sheetView>
  </sheetViews>
  <sheetFormatPr defaultColWidth="8.6640625" defaultRowHeight="13.8"/>
  <cols>
    <col min="1" max="1" width="12" style="14" customWidth="1"/>
    <col min="2" max="2" width="28" style="14" customWidth="1"/>
    <col min="3" max="3" width="116" style="14" customWidth="1"/>
    <col min="4" max="16384" width="8.6640625" style="14"/>
  </cols>
  <sheetData>
    <row r="1" spans="1:3" ht="18">
      <c r="A1" s="45" t="s">
        <v>252</v>
      </c>
    </row>
    <row r="2" spans="1:3">
      <c r="A2" s="61" t="s">
        <v>723</v>
      </c>
    </row>
    <row r="4" spans="1:3" ht="36" customHeight="1">
      <c r="A4" s="48" t="s">
        <v>253</v>
      </c>
      <c r="B4" s="48" t="s">
        <v>254</v>
      </c>
      <c r="C4" s="48" t="s">
        <v>255</v>
      </c>
    </row>
    <row r="5" spans="1:3" ht="37.5" customHeight="1">
      <c r="A5" s="63" t="s">
        <v>256</v>
      </c>
      <c r="B5" s="63" t="s">
        <v>724</v>
      </c>
      <c r="C5" s="64" t="s">
        <v>725</v>
      </c>
    </row>
    <row r="6" spans="1:3" ht="37.5" customHeight="1">
      <c r="A6" s="63" t="s">
        <v>256</v>
      </c>
      <c r="B6" s="63" t="s">
        <v>257</v>
      </c>
      <c r="C6" s="64" t="s">
        <v>726</v>
      </c>
    </row>
    <row r="7" spans="1:3" ht="51.75" customHeight="1">
      <c r="A7" s="63" t="s">
        <v>17</v>
      </c>
      <c r="B7" s="63" t="s">
        <v>258</v>
      </c>
      <c r="C7" s="65" t="s">
        <v>727</v>
      </c>
    </row>
    <row r="8" spans="1:3" ht="37.5" customHeight="1">
      <c r="A8" s="63" t="s">
        <v>17</v>
      </c>
      <c r="B8" s="63" t="s">
        <v>259</v>
      </c>
      <c r="C8" s="64" t="s">
        <v>728</v>
      </c>
    </row>
    <row r="9" spans="1:3" ht="51.75" customHeight="1">
      <c r="A9" s="63" t="s">
        <v>17</v>
      </c>
      <c r="B9" s="63" t="s">
        <v>260</v>
      </c>
      <c r="C9" s="64" t="s">
        <v>729</v>
      </c>
    </row>
    <row r="10" spans="1:3" ht="37.5" customHeight="1">
      <c r="A10" s="63" t="s">
        <v>17</v>
      </c>
      <c r="B10" s="63" t="s">
        <v>730</v>
      </c>
      <c r="C10" s="64" t="s">
        <v>731</v>
      </c>
    </row>
    <row r="11" spans="1:3" ht="37.5" customHeight="1">
      <c r="A11" s="63" t="s">
        <v>261</v>
      </c>
      <c r="B11" s="63" t="s">
        <v>262</v>
      </c>
      <c r="C11" s="64" t="s">
        <v>732</v>
      </c>
    </row>
    <row r="12" spans="1:3" ht="24" customHeight="1">
      <c r="A12" s="63" t="s">
        <v>261</v>
      </c>
      <c r="B12" s="63" t="s">
        <v>263</v>
      </c>
      <c r="C12" s="65" t="s">
        <v>733</v>
      </c>
    </row>
    <row r="13" spans="1:3" ht="51.75" customHeight="1">
      <c r="A13" s="63" t="s">
        <v>261</v>
      </c>
      <c r="B13" s="63" t="s">
        <v>734</v>
      </c>
      <c r="C13" s="64" t="s">
        <v>735</v>
      </c>
    </row>
    <row r="14" spans="1:3" ht="37.5" customHeight="1">
      <c r="A14" s="63" t="s">
        <v>261</v>
      </c>
      <c r="B14" s="63" t="s">
        <v>264</v>
      </c>
      <c r="C14" s="64" t="s">
        <v>736</v>
      </c>
    </row>
    <row r="15" spans="1:3" ht="51.75" customHeight="1">
      <c r="A15" s="63" t="s">
        <v>265</v>
      </c>
      <c r="B15" s="63" t="s">
        <v>737</v>
      </c>
      <c r="C15" s="65" t="s">
        <v>738</v>
      </c>
    </row>
    <row r="16" spans="1:3" ht="37.5" customHeight="1">
      <c r="A16" s="63" t="s">
        <v>265</v>
      </c>
      <c r="B16" s="63" t="s">
        <v>739</v>
      </c>
      <c r="C16" s="64" t="s">
        <v>740</v>
      </c>
    </row>
    <row r="17" spans="1:3" ht="51.75" customHeight="1">
      <c r="A17" s="63" t="s">
        <v>265</v>
      </c>
      <c r="B17" s="63" t="s">
        <v>266</v>
      </c>
      <c r="C17" s="64" t="s">
        <v>741</v>
      </c>
    </row>
    <row r="18" spans="1:3" ht="79.5" customHeight="1">
      <c r="A18" s="63" t="s">
        <v>742</v>
      </c>
      <c r="B18" s="63" t="s">
        <v>267</v>
      </c>
      <c r="C18" s="64" t="s">
        <v>743</v>
      </c>
    </row>
    <row r="19" spans="1:3" ht="37.5" customHeight="1">
      <c r="A19" s="63" t="s">
        <v>742</v>
      </c>
      <c r="B19" s="63" t="s">
        <v>744</v>
      </c>
      <c r="C19" s="64" t="s">
        <v>745</v>
      </c>
    </row>
    <row r="20" spans="1:3" ht="37.5" customHeight="1">
      <c r="A20" s="63" t="s">
        <v>742</v>
      </c>
      <c r="B20" s="63" t="s">
        <v>268</v>
      </c>
      <c r="C20" s="64" t="s">
        <v>746</v>
      </c>
    </row>
    <row r="21" spans="1:3" ht="79.5" customHeight="1">
      <c r="A21" s="63" t="s">
        <v>742</v>
      </c>
      <c r="B21" s="63" t="s">
        <v>747</v>
      </c>
      <c r="C21" s="64" t="s">
        <v>748</v>
      </c>
    </row>
    <row r="22" spans="1:3" ht="37.5" customHeight="1">
      <c r="A22" s="63" t="s">
        <v>742</v>
      </c>
      <c r="B22" s="63" t="s">
        <v>749</v>
      </c>
      <c r="C22" s="66" t="s">
        <v>750</v>
      </c>
    </row>
    <row r="23" spans="1:3" ht="24" customHeight="1">
      <c r="A23" s="63" t="s">
        <v>269</v>
      </c>
      <c r="B23" s="63" t="s">
        <v>270</v>
      </c>
      <c r="C23" s="64" t="s">
        <v>751</v>
      </c>
    </row>
    <row r="24" spans="1:3" ht="24" customHeight="1">
      <c r="A24" s="63" t="s">
        <v>269</v>
      </c>
      <c r="B24" s="63" t="s">
        <v>271</v>
      </c>
      <c r="C24" s="66" t="s">
        <v>752</v>
      </c>
    </row>
    <row r="25" spans="1:3" ht="24" customHeight="1">
      <c r="A25" s="63" t="s">
        <v>269</v>
      </c>
      <c r="B25" s="63" t="s">
        <v>272</v>
      </c>
      <c r="C25" s="66" t="s">
        <v>753</v>
      </c>
    </row>
    <row r="26" spans="1:3" ht="37.5" customHeight="1">
      <c r="A26" s="63" t="s">
        <v>269</v>
      </c>
      <c r="B26" s="63" t="s">
        <v>273</v>
      </c>
      <c r="C26" s="65" t="s">
        <v>754</v>
      </c>
    </row>
    <row r="27" spans="1:3" ht="37.5" customHeight="1">
      <c r="A27" s="63" t="s">
        <v>269</v>
      </c>
      <c r="B27" s="63" t="s">
        <v>274</v>
      </c>
      <c r="C27" s="66" t="s">
        <v>755</v>
      </c>
    </row>
    <row r="28" spans="1:3" ht="37.5" customHeight="1">
      <c r="A28" s="63" t="s">
        <v>269</v>
      </c>
      <c r="B28" s="63" t="s">
        <v>275</v>
      </c>
      <c r="C28" s="64" t="s">
        <v>756</v>
      </c>
    </row>
    <row r="29" spans="1:3" ht="37.5" customHeight="1">
      <c r="A29" s="63" t="s">
        <v>269</v>
      </c>
      <c r="B29" s="63" t="s">
        <v>276</v>
      </c>
      <c r="C29" s="65" t="s">
        <v>757</v>
      </c>
    </row>
    <row r="30" spans="1:3" ht="37.5" customHeight="1">
      <c r="A30" s="63" t="s">
        <v>277</v>
      </c>
      <c r="B30" s="63" t="s">
        <v>758</v>
      </c>
      <c r="C30" s="64" t="s">
        <v>759</v>
      </c>
    </row>
    <row r="31" spans="1:3" ht="37.5" customHeight="1">
      <c r="A31" s="63" t="s">
        <v>278</v>
      </c>
      <c r="B31" s="63" t="s">
        <v>279</v>
      </c>
      <c r="C31" s="64" t="s">
        <v>760</v>
      </c>
    </row>
    <row r="32" spans="1:3" ht="37.5" customHeight="1">
      <c r="A32" s="63" t="s">
        <v>278</v>
      </c>
      <c r="B32" s="63" t="s">
        <v>280</v>
      </c>
      <c r="C32" s="64" t="s">
        <v>761</v>
      </c>
    </row>
    <row r="33" spans="1:3" ht="37.5" customHeight="1">
      <c r="A33" s="63" t="s">
        <v>281</v>
      </c>
      <c r="B33" s="63" t="s">
        <v>762</v>
      </c>
      <c r="C33" s="64" t="s">
        <v>763</v>
      </c>
    </row>
    <row r="34" spans="1:3" ht="37.5" customHeight="1">
      <c r="A34" s="63" t="s">
        <v>281</v>
      </c>
      <c r="B34" s="63" t="s">
        <v>282</v>
      </c>
      <c r="C34" s="64" t="s">
        <v>764</v>
      </c>
    </row>
  </sheetData>
  <phoneticPr fontId="31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7"/>
  <sheetViews>
    <sheetView tabSelected="1" zoomScaleNormal="100" workbookViewId="0"/>
  </sheetViews>
  <sheetFormatPr defaultColWidth="8.6640625" defaultRowHeight="13.8"/>
  <cols>
    <col min="1" max="1" width="10" style="14" customWidth="1"/>
    <col min="2" max="2" width="17.44140625" style="14" customWidth="1"/>
    <col min="3" max="4" width="26" style="14" customWidth="1"/>
    <col min="5" max="5" width="38.77734375" style="14" customWidth="1"/>
    <col min="6" max="6" width="46" style="14" customWidth="1"/>
    <col min="7" max="16384" width="8.6640625" style="14"/>
  </cols>
  <sheetData>
    <row r="1" spans="1:6" ht="18">
      <c r="A1" s="45" t="s">
        <v>283</v>
      </c>
    </row>
    <row r="2" spans="1:6">
      <c r="A2" s="61" t="s">
        <v>765</v>
      </c>
    </row>
    <row r="4" spans="1:6" ht="36" customHeight="1">
      <c r="A4" s="48" t="s">
        <v>253</v>
      </c>
      <c r="B4" s="48" t="s">
        <v>284</v>
      </c>
      <c r="C4" s="50" t="s">
        <v>285</v>
      </c>
      <c r="D4" s="49" t="s">
        <v>286</v>
      </c>
      <c r="E4" s="67" t="s">
        <v>287</v>
      </c>
      <c r="F4" s="68" t="s">
        <v>263</v>
      </c>
    </row>
    <row r="5" spans="1:6" ht="25.05" customHeight="1">
      <c r="A5" s="69" t="s">
        <v>288</v>
      </c>
      <c r="B5" s="69" t="s">
        <v>289</v>
      </c>
      <c r="C5" s="23" t="s">
        <v>766</v>
      </c>
      <c r="D5" s="23" t="s">
        <v>290</v>
      </c>
      <c r="E5" s="23" t="s">
        <v>291</v>
      </c>
      <c r="F5" s="23"/>
    </row>
    <row r="6" spans="1:6" ht="25.05" customHeight="1">
      <c r="A6" s="69" t="s">
        <v>288</v>
      </c>
      <c r="B6" s="69" t="s">
        <v>289</v>
      </c>
      <c r="C6" s="23" t="s">
        <v>767</v>
      </c>
      <c r="D6" s="23" t="s">
        <v>292</v>
      </c>
      <c r="E6" s="23" t="s">
        <v>768</v>
      </c>
      <c r="F6" s="23" t="s">
        <v>769</v>
      </c>
    </row>
    <row r="7" spans="1:6" ht="25.05" customHeight="1">
      <c r="A7" s="69" t="s">
        <v>288</v>
      </c>
      <c r="B7" s="69" t="s">
        <v>289</v>
      </c>
      <c r="C7" s="23" t="s">
        <v>770</v>
      </c>
      <c r="D7" s="23" t="s">
        <v>293</v>
      </c>
      <c r="E7" s="23" t="s">
        <v>294</v>
      </c>
      <c r="F7" s="23"/>
    </row>
    <row r="8" spans="1:6" ht="25.05" customHeight="1">
      <c r="A8" s="69" t="s">
        <v>288</v>
      </c>
      <c r="B8" s="69" t="s">
        <v>295</v>
      </c>
      <c r="C8" s="28" t="s">
        <v>296</v>
      </c>
      <c r="D8" s="23" t="s">
        <v>297</v>
      </c>
      <c r="E8" s="23" t="s">
        <v>771</v>
      </c>
      <c r="F8" s="23" t="s">
        <v>298</v>
      </c>
    </row>
    <row r="9" spans="1:6" ht="25.05" customHeight="1">
      <c r="A9" s="69" t="s">
        <v>288</v>
      </c>
      <c r="B9" s="69" t="s">
        <v>772</v>
      </c>
      <c r="C9" s="28" t="s">
        <v>773</v>
      </c>
      <c r="D9" s="23" t="s">
        <v>299</v>
      </c>
      <c r="E9" s="23" t="s">
        <v>300</v>
      </c>
      <c r="F9" s="23" t="s">
        <v>774</v>
      </c>
    </row>
    <row r="10" spans="1:6" ht="25.05" customHeight="1">
      <c r="A10" s="69" t="s">
        <v>288</v>
      </c>
      <c r="B10" s="69" t="s">
        <v>301</v>
      </c>
      <c r="C10" s="23" t="s">
        <v>775</v>
      </c>
      <c r="D10" s="23" t="s">
        <v>776</v>
      </c>
      <c r="E10" s="23" t="s">
        <v>777</v>
      </c>
      <c r="F10" s="23"/>
    </row>
    <row r="11" spans="1:6" ht="25.05" customHeight="1">
      <c r="A11" s="69" t="s">
        <v>288</v>
      </c>
      <c r="B11" s="69" t="s">
        <v>301</v>
      </c>
      <c r="C11" s="23" t="s">
        <v>778</v>
      </c>
      <c r="D11" s="23" t="s">
        <v>302</v>
      </c>
      <c r="E11" s="23" t="s">
        <v>779</v>
      </c>
      <c r="F11" s="23" t="s">
        <v>780</v>
      </c>
    </row>
    <row r="12" spans="1:6" ht="25.05" customHeight="1">
      <c r="A12" s="69" t="s">
        <v>288</v>
      </c>
      <c r="B12" s="69" t="s">
        <v>303</v>
      </c>
      <c r="C12" s="28" t="s">
        <v>304</v>
      </c>
      <c r="D12" s="23" t="s">
        <v>305</v>
      </c>
      <c r="E12" s="23" t="s">
        <v>306</v>
      </c>
      <c r="F12" s="23" t="s">
        <v>781</v>
      </c>
    </row>
    <row r="13" spans="1:6" ht="25.05" customHeight="1">
      <c r="A13" s="69" t="s">
        <v>288</v>
      </c>
      <c r="B13" s="69" t="s">
        <v>307</v>
      </c>
      <c r="C13" s="23" t="s">
        <v>308</v>
      </c>
      <c r="D13" s="23" t="s">
        <v>309</v>
      </c>
      <c r="E13" s="23" t="s">
        <v>310</v>
      </c>
      <c r="F13" s="23"/>
    </row>
    <row r="14" spans="1:6" ht="25.05" customHeight="1">
      <c r="A14" s="69" t="s">
        <v>288</v>
      </c>
      <c r="B14" s="69" t="s">
        <v>307</v>
      </c>
      <c r="C14" s="23" t="s">
        <v>311</v>
      </c>
      <c r="D14" s="23" t="s">
        <v>312</v>
      </c>
      <c r="E14" s="23" t="s">
        <v>782</v>
      </c>
      <c r="F14" s="23"/>
    </row>
    <row r="15" spans="1:6" ht="25.05" customHeight="1">
      <c r="A15" s="69" t="s">
        <v>288</v>
      </c>
      <c r="B15" s="69" t="s">
        <v>307</v>
      </c>
      <c r="C15" s="23" t="s">
        <v>313</v>
      </c>
      <c r="D15" s="23" t="s">
        <v>314</v>
      </c>
      <c r="E15" s="23" t="s">
        <v>315</v>
      </c>
      <c r="F15" s="23"/>
    </row>
    <row r="16" spans="1:6" ht="25.05" customHeight="1">
      <c r="A16" s="69" t="s">
        <v>288</v>
      </c>
      <c r="B16" s="69" t="s">
        <v>307</v>
      </c>
      <c r="C16" s="23" t="s">
        <v>316</v>
      </c>
      <c r="D16" s="23" t="s">
        <v>783</v>
      </c>
      <c r="E16" s="23" t="s">
        <v>317</v>
      </c>
      <c r="F16" s="23"/>
    </row>
    <row r="17" spans="1:6" ht="25.05" customHeight="1">
      <c r="A17" s="69" t="s">
        <v>784</v>
      </c>
      <c r="B17" s="69" t="s">
        <v>318</v>
      </c>
      <c r="C17" s="28" t="s">
        <v>785</v>
      </c>
      <c r="D17" s="23" t="s">
        <v>786</v>
      </c>
      <c r="E17" s="23" t="s">
        <v>787</v>
      </c>
      <c r="F17" s="23" t="s">
        <v>788</v>
      </c>
    </row>
    <row r="18" spans="1:6" ht="25.05" customHeight="1">
      <c r="A18" s="69" t="s">
        <v>784</v>
      </c>
      <c r="B18" s="69" t="s">
        <v>318</v>
      </c>
      <c r="C18" s="23" t="s">
        <v>789</v>
      </c>
      <c r="D18" s="23" t="s">
        <v>790</v>
      </c>
      <c r="E18" s="23" t="s">
        <v>791</v>
      </c>
      <c r="F18" s="23"/>
    </row>
    <row r="19" spans="1:6" ht="25.05" customHeight="1">
      <c r="A19" s="69" t="s">
        <v>784</v>
      </c>
      <c r="B19" s="69" t="s">
        <v>318</v>
      </c>
      <c r="C19" s="23" t="s">
        <v>792</v>
      </c>
      <c r="D19" s="23" t="s">
        <v>319</v>
      </c>
      <c r="E19" s="23" t="s">
        <v>793</v>
      </c>
      <c r="F19" s="23"/>
    </row>
    <row r="20" spans="1:6" ht="25.05" customHeight="1">
      <c r="A20" s="69" t="s">
        <v>784</v>
      </c>
      <c r="B20" s="69" t="s">
        <v>318</v>
      </c>
      <c r="C20" s="23" t="s">
        <v>794</v>
      </c>
      <c r="D20" s="23" t="s">
        <v>795</v>
      </c>
      <c r="E20" s="23" t="s">
        <v>796</v>
      </c>
      <c r="F20" s="23" t="s">
        <v>320</v>
      </c>
    </row>
    <row r="21" spans="1:6" ht="25.05" customHeight="1">
      <c r="A21" s="69" t="s">
        <v>784</v>
      </c>
      <c r="B21" s="69" t="s">
        <v>321</v>
      </c>
      <c r="C21" s="28" t="s">
        <v>797</v>
      </c>
      <c r="D21" s="23" t="s">
        <v>322</v>
      </c>
      <c r="E21" s="23" t="s">
        <v>798</v>
      </c>
      <c r="F21" s="23" t="s">
        <v>799</v>
      </c>
    </row>
    <row r="22" spans="1:6" ht="25.05" customHeight="1">
      <c r="A22" s="69" t="s">
        <v>784</v>
      </c>
      <c r="B22" s="69" t="s">
        <v>323</v>
      </c>
      <c r="C22" s="23" t="s">
        <v>324</v>
      </c>
      <c r="D22" s="23" t="s">
        <v>800</v>
      </c>
      <c r="E22" s="23" t="s">
        <v>801</v>
      </c>
      <c r="F22" s="23" t="s">
        <v>325</v>
      </c>
    </row>
    <row r="23" spans="1:6" ht="25.05" customHeight="1">
      <c r="A23" s="69" t="s">
        <v>784</v>
      </c>
      <c r="B23" s="69" t="s">
        <v>326</v>
      </c>
      <c r="C23" s="23" t="s">
        <v>802</v>
      </c>
      <c r="D23" s="23" t="s">
        <v>803</v>
      </c>
      <c r="E23" s="23" t="s">
        <v>804</v>
      </c>
      <c r="F23" s="23"/>
    </row>
    <row r="24" spans="1:6" ht="25.05" customHeight="1">
      <c r="A24" s="69" t="s">
        <v>784</v>
      </c>
      <c r="B24" s="69" t="s">
        <v>326</v>
      </c>
      <c r="C24" s="23" t="s">
        <v>805</v>
      </c>
      <c r="D24" s="23" t="s">
        <v>806</v>
      </c>
      <c r="E24" s="23" t="s">
        <v>807</v>
      </c>
      <c r="F24" s="23" t="s">
        <v>808</v>
      </c>
    </row>
    <row r="25" spans="1:6" ht="25.05" customHeight="1">
      <c r="A25" s="69" t="s">
        <v>17</v>
      </c>
      <c r="B25" s="69" t="s">
        <v>327</v>
      </c>
      <c r="C25" s="23" t="s">
        <v>328</v>
      </c>
      <c r="D25" s="23" t="s">
        <v>329</v>
      </c>
      <c r="E25" s="23" t="s">
        <v>330</v>
      </c>
      <c r="F25" s="23" t="s">
        <v>809</v>
      </c>
    </row>
    <row r="26" spans="1:6" ht="25.05" customHeight="1">
      <c r="A26" s="69" t="s">
        <v>17</v>
      </c>
      <c r="B26" s="69" t="s">
        <v>331</v>
      </c>
      <c r="C26" s="23" t="s">
        <v>810</v>
      </c>
      <c r="D26" s="23" t="s">
        <v>332</v>
      </c>
      <c r="E26" s="23" t="s">
        <v>811</v>
      </c>
      <c r="F26" s="23"/>
    </row>
    <row r="27" spans="1:6" ht="25.05" customHeight="1">
      <c r="A27" s="69" t="s">
        <v>17</v>
      </c>
      <c r="B27" s="69" t="s">
        <v>333</v>
      </c>
      <c r="C27" s="23" t="s">
        <v>812</v>
      </c>
      <c r="D27" s="23" t="s">
        <v>334</v>
      </c>
      <c r="E27" s="23" t="s">
        <v>813</v>
      </c>
      <c r="F27" s="23" t="s">
        <v>814</v>
      </c>
    </row>
    <row r="28" spans="1:6" ht="25.05" customHeight="1">
      <c r="A28" s="69" t="s">
        <v>17</v>
      </c>
      <c r="B28" s="69" t="s">
        <v>335</v>
      </c>
      <c r="C28" s="23" t="s">
        <v>815</v>
      </c>
      <c r="D28" s="23" t="s">
        <v>336</v>
      </c>
      <c r="E28" s="23" t="s">
        <v>816</v>
      </c>
      <c r="F28" s="23" t="s">
        <v>817</v>
      </c>
    </row>
    <row r="29" spans="1:6" ht="25.05" customHeight="1">
      <c r="A29" s="69" t="s">
        <v>17</v>
      </c>
      <c r="B29" s="69" t="s">
        <v>335</v>
      </c>
      <c r="C29" s="23" t="s">
        <v>337</v>
      </c>
      <c r="D29" s="23" t="s">
        <v>818</v>
      </c>
      <c r="E29" s="23" t="s">
        <v>338</v>
      </c>
      <c r="F29" s="23"/>
    </row>
    <row r="30" spans="1:6" ht="25.05" customHeight="1">
      <c r="A30" s="69" t="s">
        <v>17</v>
      </c>
      <c r="B30" s="69" t="s">
        <v>339</v>
      </c>
      <c r="C30" s="23" t="s">
        <v>340</v>
      </c>
      <c r="D30" s="23" t="s">
        <v>341</v>
      </c>
      <c r="E30" s="23" t="s">
        <v>342</v>
      </c>
      <c r="F30" s="23" t="s">
        <v>343</v>
      </c>
    </row>
    <row r="31" spans="1:6" ht="25.05" customHeight="1">
      <c r="A31" s="69" t="s">
        <v>17</v>
      </c>
      <c r="B31" s="69" t="s">
        <v>344</v>
      </c>
      <c r="C31" s="23" t="s">
        <v>819</v>
      </c>
      <c r="D31" s="23" t="s">
        <v>820</v>
      </c>
      <c r="E31" s="23" t="s">
        <v>821</v>
      </c>
      <c r="F31" s="23"/>
    </row>
    <row r="32" spans="1:6" ht="25.05" customHeight="1">
      <c r="A32" s="69" t="s">
        <v>277</v>
      </c>
      <c r="B32" s="69" t="s">
        <v>345</v>
      </c>
      <c r="C32" s="23" t="s">
        <v>346</v>
      </c>
      <c r="D32" s="23" t="s">
        <v>347</v>
      </c>
      <c r="E32" s="23" t="s">
        <v>348</v>
      </c>
      <c r="F32" s="23" t="s">
        <v>349</v>
      </c>
    </row>
    <row r="33" spans="1:6" ht="25.05" customHeight="1">
      <c r="A33" s="69" t="s">
        <v>277</v>
      </c>
      <c r="B33" s="69" t="s">
        <v>345</v>
      </c>
      <c r="C33" s="23" t="s">
        <v>822</v>
      </c>
      <c r="D33" s="23" t="s">
        <v>350</v>
      </c>
      <c r="E33" s="23" t="s">
        <v>823</v>
      </c>
      <c r="F33" s="23"/>
    </row>
    <row r="34" spans="1:6" ht="25.05" customHeight="1">
      <c r="A34" s="69" t="s">
        <v>277</v>
      </c>
      <c r="B34" s="69" t="s">
        <v>351</v>
      </c>
      <c r="C34" s="23" t="s">
        <v>352</v>
      </c>
      <c r="D34" s="23" t="s">
        <v>824</v>
      </c>
      <c r="E34" s="23" t="s">
        <v>825</v>
      </c>
      <c r="F34" s="23"/>
    </row>
    <row r="35" spans="1:6" ht="25.05" customHeight="1">
      <c r="A35" s="69" t="s">
        <v>277</v>
      </c>
      <c r="B35" s="69" t="s">
        <v>351</v>
      </c>
      <c r="C35" s="23" t="s">
        <v>826</v>
      </c>
      <c r="D35" s="23" t="s">
        <v>827</v>
      </c>
      <c r="E35" s="23" t="s">
        <v>828</v>
      </c>
      <c r="F35" s="23"/>
    </row>
    <row r="36" spans="1:6" ht="25.05" customHeight="1">
      <c r="A36" s="69" t="s">
        <v>277</v>
      </c>
      <c r="B36" s="69" t="s">
        <v>351</v>
      </c>
      <c r="C36" s="28" t="s">
        <v>829</v>
      </c>
      <c r="D36" s="23" t="s">
        <v>353</v>
      </c>
      <c r="E36" s="23" t="s">
        <v>830</v>
      </c>
      <c r="F36" s="23" t="s">
        <v>354</v>
      </c>
    </row>
    <row r="37" spans="1:6" ht="25.05" customHeight="1">
      <c r="A37" s="69" t="s">
        <v>277</v>
      </c>
      <c r="B37" s="69" t="s">
        <v>351</v>
      </c>
      <c r="C37" s="28" t="s">
        <v>355</v>
      </c>
      <c r="D37" s="23" t="s">
        <v>356</v>
      </c>
      <c r="E37" s="23" t="s">
        <v>357</v>
      </c>
      <c r="F37" s="23" t="s">
        <v>358</v>
      </c>
    </row>
    <row r="38" spans="1:6" ht="25.05" customHeight="1">
      <c r="A38" s="69" t="s">
        <v>277</v>
      </c>
      <c r="B38" s="69" t="s">
        <v>351</v>
      </c>
      <c r="C38" s="23" t="s">
        <v>831</v>
      </c>
      <c r="D38" s="23" t="s">
        <v>832</v>
      </c>
      <c r="E38" s="23" t="s">
        <v>833</v>
      </c>
      <c r="F38" s="23"/>
    </row>
    <row r="39" spans="1:6" ht="25.05" customHeight="1">
      <c r="A39" s="69" t="s">
        <v>277</v>
      </c>
      <c r="B39" s="69" t="s">
        <v>351</v>
      </c>
      <c r="C39" s="23" t="s">
        <v>359</v>
      </c>
      <c r="D39" s="23" t="s">
        <v>834</v>
      </c>
      <c r="E39" s="23" t="s">
        <v>835</v>
      </c>
      <c r="F39" s="23"/>
    </row>
    <row r="40" spans="1:6" ht="25.05" customHeight="1">
      <c r="A40" s="69" t="s">
        <v>277</v>
      </c>
      <c r="B40" s="69" t="s">
        <v>351</v>
      </c>
      <c r="C40" s="23" t="s">
        <v>360</v>
      </c>
      <c r="D40" s="23" t="s">
        <v>361</v>
      </c>
      <c r="E40" s="23" t="s">
        <v>362</v>
      </c>
      <c r="F40" s="23" t="s">
        <v>363</v>
      </c>
    </row>
    <row r="41" spans="1:6" ht="25.05" customHeight="1">
      <c r="A41" s="69" t="s">
        <v>277</v>
      </c>
      <c r="B41" s="69" t="s">
        <v>351</v>
      </c>
      <c r="C41" s="23" t="s">
        <v>836</v>
      </c>
      <c r="D41" s="23" t="s">
        <v>364</v>
      </c>
      <c r="E41" s="23" t="s">
        <v>837</v>
      </c>
      <c r="F41" s="23" t="s">
        <v>365</v>
      </c>
    </row>
    <row r="42" spans="1:6" ht="25.05" customHeight="1">
      <c r="A42" s="69" t="s">
        <v>277</v>
      </c>
      <c r="B42" s="69" t="s">
        <v>351</v>
      </c>
      <c r="C42" s="23" t="s">
        <v>366</v>
      </c>
      <c r="D42" s="23" t="s">
        <v>838</v>
      </c>
      <c r="E42" s="23" t="s">
        <v>367</v>
      </c>
      <c r="F42" s="23"/>
    </row>
    <row r="43" spans="1:6" ht="25.05" customHeight="1">
      <c r="A43" s="69" t="s">
        <v>277</v>
      </c>
      <c r="B43" s="69" t="s">
        <v>351</v>
      </c>
      <c r="C43" s="23" t="s">
        <v>839</v>
      </c>
      <c r="D43" s="23" t="s">
        <v>368</v>
      </c>
      <c r="E43" s="23" t="s">
        <v>840</v>
      </c>
      <c r="F43" s="23" t="s">
        <v>841</v>
      </c>
    </row>
    <row r="44" spans="1:6" ht="25.05" customHeight="1">
      <c r="A44" s="69" t="s">
        <v>277</v>
      </c>
      <c r="B44" s="69" t="s">
        <v>369</v>
      </c>
      <c r="C44" s="23" t="s">
        <v>370</v>
      </c>
      <c r="D44" s="23" t="s">
        <v>371</v>
      </c>
      <c r="E44" s="23" t="s">
        <v>372</v>
      </c>
      <c r="F44" s="23"/>
    </row>
    <row r="45" spans="1:6" ht="25.05" customHeight="1">
      <c r="A45" s="69" t="s">
        <v>277</v>
      </c>
      <c r="B45" s="69" t="s">
        <v>369</v>
      </c>
      <c r="C45" s="23" t="s">
        <v>373</v>
      </c>
      <c r="D45" s="23" t="s">
        <v>374</v>
      </c>
      <c r="E45" s="23" t="s">
        <v>842</v>
      </c>
      <c r="F45" s="23" t="s">
        <v>375</v>
      </c>
    </row>
    <row r="46" spans="1:6" ht="25.05" customHeight="1">
      <c r="A46" s="69" t="s">
        <v>277</v>
      </c>
      <c r="B46" s="69" t="s">
        <v>376</v>
      </c>
      <c r="C46" s="28" t="s">
        <v>377</v>
      </c>
      <c r="D46" s="23" t="s">
        <v>843</v>
      </c>
      <c r="E46" s="23" t="s">
        <v>844</v>
      </c>
      <c r="F46" s="23" t="s">
        <v>845</v>
      </c>
    </row>
    <row r="47" spans="1:6" ht="25.05" customHeight="1">
      <c r="A47" s="69" t="s">
        <v>277</v>
      </c>
      <c r="B47" s="69" t="s">
        <v>376</v>
      </c>
      <c r="C47" s="28" t="s">
        <v>846</v>
      </c>
      <c r="D47" s="23" t="s">
        <v>847</v>
      </c>
      <c r="E47" s="23" t="s">
        <v>848</v>
      </c>
      <c r="F47" s="23" t="s">
        <v>378</v>
      </c>
    </row>
    <row r="48" spans="1:6" ht="25.05" customHeight="1">
      <c r="A48" s="69" t="s">
        <v>277</v>
      </c>
      <c r="B48" s="69" t="s">
        <v>379</v>
      </c>
      <c r="C48" s="23" t="s">
        <v>849</v>
      </c>
      <c r="D48" s="23" t="s">
        <v>850</v>
      </c>
      <c r="E48" s="23" t="s">
        <v>851</v>
      </c>
      <c r="F48" s="23"/>
    </row>
    <row r="49" spans="1:6" ht="25.05" customHeight="1">
      <c r="A49" s="69" t="s">
        <v>380</v>
      </c>
      <c r="B49" s="69" t="s">
        <v>381</v>
      </c>
      <c r="C49" s="23" t="s">
        <v>852</v>
      </c>
      <c r="D49" s="23" t="s">
        <v>382</v>
      </c>
      <c r="E49" s="23" t="s">
        <v>853</v>
      </c>
      <c r="F49" s="23"/>
    </row>
    <row r="50" spans="1:6" ht="25.05" customHeight="1">
      <c r="A50" s="69" t="s">
        <v>380</v>
      </c>
      <c r="B50" s="69" t="s">
        <v>344</v>
      </c>
      <c r="C50" s="28" t="s">
        <v>854</v>
      </c>
      <c r="D50" s="23" t="s">
        <v>383</v>
      </c>
      <c r="E50" s="23" t="s">
        <v>855</v>
      </c>
      <c r="F50" s="23" t="s">
        <v>856</v>
      </c>
    </row>
    <row r="51" spans="1:6" ht="25.05" customHeight="1">
      <c r="A51" s="69" t="s">
        <v>380</v>
      </c>
      <c r="B51" s="69" t="s">
        <v>384</v>
      </c>
      <c r="C51" s="23" t="s">
        <v>857</v>
      </c>
      <c r="D51" s="23" t="s">
        <v>385</v>
      </c>
      <c r="E51" s="23" t="s">
        <v>858</v>
      </c>
      <c r="F51" s="23"/>
    </row>
    <row r="52" spans="1:6" ht="25.05" customHeight="1">
      <c r="A52" s="69" t="s">
        <v>380</v>
      </c>
      <c r="B52" s="69" t="s">
        <v>384</v>
      </c>
      <c r="C52" s="23" t="s">
        <v>859</v>
      </c>
      <c r="D52" s="23" t="s">
        <v>386</v>
      </c>
      <c r="E52" s="23" t="s">
        <v>860</v>
      </c>
      <c r="F52" s="23"/>
    </row>
    <row r="53" spans="1:6" ht="25.05" customHeight="1">
      <c r="A53" s="69" t="s">
        <v>380</v>
      </c>
      <c r="B53" s="69" t="s">
        <v>387</v>
      </c>
      <c r="C53" s="23" t="s">
        <v>861</v>
      </c>
      <c r="D53" s="23" t="s">
        <v>388</v>
      </c>
      <c r="E53" s="23" t="s">
        <v>862</v>
      </c>
      <c r="F53" s="23"/>
    </row>
    <row r="54" spans="1:6" ht="25.05" customHeight="1">
      <c r="A54" s="69" t="s">
        <v>380</v>
      </c>
      <c r="B54" s="69" t="s">
        <v>387</v>
      </c>
      <c r="C54" s="23" t="s">
        <v>863</v>
      </c>
      <c r="D54" s="23" t="s">
        <v>389</v>
      </c>
      <c r="E54" s="23" t="s">
        <v>864</v>
      </c>
      <c r="F54" s="23" t="s">
        <v>865</v>
      </c>
    </row>
    <row r="55" spans="1:6" ht="25.05" customHeight="1">
      <c r="A55" s="69" t="s">
        <v>380</v>
      </c>
      <c r="B55" s="69" t="s">
        <v>387</v>
      </c>
      <c r="C55" s="23" t="s">
        <v>866</v>
      </c>
      <c r="D55" s="23" t="s">
        <v>867</v>
      </c>
      <c r="E55" s="23" t="s">
        <v>868</v>
      </c>
      <c r="F55" s="23"/>
    </row>
    <row r="56" spans="1:6" ht="25.05" customHeight="1">
      <c r="A56" s="69" t="s">
        <v>380</v>
      </c>
      <c r="B56" s="69" t="s">
        <v>390</v>
      </c>
      <c r="C56" s="23" t="s">
        <v>869</v>
      </c>
      <c r="D56" s="23" t="s">
        <v>391</v>
      </c>
      <c r="E56" s="23" t="s">
        <v>870</v>
      </c>
      <c r="F56" s="23"/>
    </row>
    <row r="57" spans="1:6" ht="25.05" customHeight="1">
      <c r="A57" s="69" t="s">
        <v>380</v>
      </c>
      <c r="B57" s="69" t="s">
        <v>392</v>
      </c>
      <c r="C57" s="23" t="s">
        <v>871</v>
      </c>
      <c r="D57" s="23" t="s">
        <v>393</v>
      </c>
      <c r="E57" s="23" t="s">
        <v>872</v>
      </c>
      <c r="F57" s="23" t="s">
        <v>873</v>
      </c>
    </row>
    <row r="58" spans="1:6" ht="25.05" customHeight="1">
      <c r="A58" s="69" t="s">
        <v>394</v>
      </c>
      <c r="B58" s="69" t="s">
        <v>395</v>
      </c>
      <c r="C58" s="23" t="s">
        <v>874</v>
      </c>
      <c r="D58" s="23" t="s">
        <v>396</v>
      </c>
      <c r="E58" s="23" t="s">
        <v>875</v>
      </c>
      <c r="F58" s="23"/>
    </row>
    <row r="59" spans="1:6" ht="25.05" customHeight="1">
      <c r="A59" s="69" t="s">
        <v>394</v>
      </c>
      <c r="B59" s="69" t="s">
        <v>395</v>
      </c>
      <c r="C59" s="23" t="s">
        <v>876</v>
      </c>
      <c r="D59" s="23" t="s">
        <v>397</v>
      </c>
      <c r="E59" s="23" t="s">
        <v>877</v>
      </c>
      <c r="F59" s="23" t="s">
        <v>398</v>
      </c>
    </row>
    <row r="60" spans="1:6" ht="25.05" customHeight="1">
      <c r="A60" s="69" t="s">
        <v>394</v>
      </c>
      <c r="B60" s="69" t="s">
        <v>395</v>
      </c>
      <c r="C60" s="23" t="s">
        <v>878</v>
      </c>
      <c r="D60" s="23" t="s">
        <v>879</v>
      </c>
      <c r="E60" s="23" t="s">
        <v>880</v>
      </c>
      <c r="F60" s="23" t="s">
        <v>399</v>
      </c>
    </row>
    <row r="61" spans="1:6" ht="25.05" customHeight="1">
      <c r="A61" s="69" t="s">
        <v>394</v>
      </c>
      <c r="B61" s="69" t="s">
        <v>269</v>
      </c>
      <c r="C61" s="23" t="s">
        <v>881</v>
      </c>
      <c r="D61" s="23" t="s">
        <v>882</v>
      </c>
      <c r="E61" s="23" t="s">
        <v>883</v>
      </c>
      <c r="F61" s="23" t="s">
        <v>884</v>
      </c>
    </row>
    <row r="62" spans="1:6" ht="25.05" customHeight="1">
      <c r="A62" s="69" t="s">
        <v>885</v>
      </c>
      <c r="B62" s="69" t="s">
        <v>400</v>
      </c>
      <c r="C62" s="23" t="s">
        <v>886</v>
      </c>
      <c r="D62" s="23" t="s">
        <v>401</v>
      </c>
      <c r="E62" s="23" t="s">
        <v>887</v>
      </c>
      <c r="F62" s="23"/>
    </row>
    <row r="63" spans="1:6" ht="25.05" customHeight="1">
      <c r="A63" s="69" t="s">
        <v>885</v>
      </c>
      <c r="B63" s="69" t="s">
        <v>402</v>
      </c>
      <c r="C63" s="23" t="s">
        <v>403</v>
      </c>
      <c r="D63" s="23" t="s">
        <v>888</v>
      </c>
      <c r="E63" s="23" t="s">
        <v>404</v>
      </c>
      <c r="F63" s="23" t="s">
        <v>889</v>
      </c>
    </row>
    <row r="64" spans="1:6" ht="25.05" customHeight="1">
      <c r="A64" s="69" t="s">
        <v>885</v>
      </c>
      <c r="B64" s="69" t="s">
        <v>402</v>
      </c>
      <c r="C64" s="23" t="s">
        <v>405</v>
      </c>
      <c r="D64" s="23" t="s">
        <v>406</v>
      </c>
      <c r="E64" s="23" t="s">
        <v>407</v>
      </c>
      <c r="F64" s="23" t="s">
        <v>890</v>
      </c>
    </row>
    <row r="65" spans="1:6" ht="25.05" customHeight="1">
      <c r="A65" s="69" t="s">
        <v>885</v>
      </c>
      <c r="B65" s="69" t="s">
        <v>408</v>
      </c>
      <c r="C65" s="23" t="s">
        <v>891</v>
      </c>
      <c r="D65" s="23" t="s">
        <v>892</v>
      </c>
      <c r="E65" s="23" t="s">
        <v>893</v>
      </c>
      <c r="F65" s="23" t="s">
        <v>409</v>
      </c>
    </row>
    <row r="66" spans="1:6" ht="25.05" customHeight="1">
      <c r="A66" s="69" t="s">
        <v>885</v>
      </c>
      <c r="B66" s="69" t="s">
        <v>410</v>
      </c>
      <c r="C66" s="23" t="s">
        <v>894</v>
      </c>
      <c r="D66" s="23" t="s">
        <v>411</v>
      </c>
      <c r="E66" s="23" t="s">
        <v>895</v>
      </c>
      <c r="F66" s="23"/>
    </row>
    <row r="67" spans="1:6" ht="25.05" customHeight="1">
      <c r="A67" s="69" t="s">
        <v>896</v>
      </c>
      <c r="B67" s="69" t="s">
        <v>412</v>
      </c>
      <c r="C67" s="23" t="s">
        <v>897</v>
      </c>
      <c r="D67" s="23" t="s">
        <v>898</v>
      </c>
      <c r="E67" s="23" t="s">
        <v>899</v>
      </c>
      <c r="F67" s="23" t="s">
        <v>900</v>
      </c>
    </row>
    <row r="68" spans="1:6" ht="25.05" customHeight="1">
      <c r="A68" s="69" t="s">
        <v>896</v>
      </c>
      <c r="B68" s="69" t="s">
        <v>412</v>
      </c>
      <c r="C68" s="28" t="s">
        <v>901</v>
      </c>
      <c r="D68" s="23" t="s">
        <v>413</v>
      </c>
      <c r="E68" s="23" t="s">
        <v>902</v>
      </c>
      <c r="F68" s="23" t="s">
        <v>903</v>
      </c>
    </row>
    <row r="69" spans="1:6" ht="25.05" customHeight="1">
      <c r="A69" s="69" t="s">
        <v>896</v>
      </c>
      <c r="B69" s="69" t="s">
        <v>412</v>
      </c>
      <c r="C69" s="23" t="s">
        <v>904</v>
      </c>
      <c r="D69" s="23" t="s">
        <v>905</v>
      </c>
      <c r="E69" s="23" t="s">
        <v>414</v>
      </c>
      <c r="F69" s="23"/>
    </row>
    <row r="70" spans="1:6" ht="25.05" customHeight="1">
      <c r="A70" s="69" t="s">
        <v>896</v>
      </c>
      <c r="B70" s="69" t="s">
        <v>415</v>
      </c>
      <c r="C70" s="28" t="s">
        <v>416</v>
      </c>
      <c r="D70" s="23" t="s">
        <v>417</v>
      </c>
      <c r="E70" s="23" t="s">
        <v>418</v>
      </c>
      <c r="F70" s="23" t="s">
        <v>906</v>
      </c>
    </row>
    <row r="71" spans="1:6" ht="25.05" customHeight="1">
      <c r="A71" s="69" t="s">
        <v>896</v>
      </c>
      <c r="B71" s="69" t="s">
        <v>415</v>
      </c>
      <c r="C71" s="23" t="s">
        <v>419</v>
      </c>
      <c r="D71" s="23" t="s">
        <v>907</v>
      </c>
      <c r="E71" s="23" t="s">
        <v>420</v>
      </c>
      <c r="F71" s="23"/>
    </row>
    <row r="72" spans="1:6" ht="25.05" customHeight="1">
      <c r="A72" s="69" t="s">
        <v>896</v>
      </c>
      <c r="B72" s="69" t="s">
        <v>421</v>
      </c>
      <c r="C72" s="23" t="s">
        <v>422</v>
      </c>
      <c r="D72" s="23" t="s">
        <v>423</v>
      </c>
      <c r="E72" s="23" t="s">
        <v>908</v>
      </c>
      <c r="F72" s="23"/>
    </row>
    <row r="73" spans="1:6" ht="25.05" customHeight="1">
      <c r="A73" s="69" t="s">
        <v>896</v>
      </c>
      <c r="B73" s="69" t="s">
        <v>424</v>
      </c>
      <c r="C73" s="28" t="s">
        <v>909</v>
      </c>
      <c r="D73" s="23" t="s">
        <v>425</v>
      </c>
      <c r="E73" s="23" t="s">
        <v>910</v>
      </c>
      <c r="F73" s="23" t="s">
        <v>911</v>
      </c>
    </row>
    <row r="74" spans="1:6" ht="25.05" customHeight="1">
      <c r="A74" s="69" t="s">
        <v>896</v>
      </c>
      <c r="B74" s="69" t="s">
        <v>426</v>
      </c>
      <c r="C74" s="23" t="s">
        <v>427</v>
      </c>
      <c r="D74" s="23" t="s">
        <v>428</v>
      </c>
      <c r="E74" s="23" t="s">
        <v>429</v>
      </c>
      <c r="F74" s="23" t="s">
        <v>912</v>
      </c>
    </row>
    <row r="75" spans="1:6" ht="25.05" customHeight="1">
      <c r="A75" s="69" t="s">
        <v>430</v>
      </c>
      <c r="B75" s="69" t="s">
        <v>430</v>
      </c>
      <c r="C75" s="23" t="s">
        <v>913</v>
      </c>
      <c r="D75" s="23" t="s">
        <v>914</v>
      </c>
      <c r="E75" s="23" t="s">
        <v>915</v>
      </c>
      <c r="F75" s="23" t="s">
        <v>431</v>
      </c>
    </row>
    <row r="76" spans="1:6" ht="25.05" customHeight="1">
      <c r="A76" s="69" t="s">
        <v>430</v>
      </c>
      <c r="B76" s="69" t="s">
        <v>430</v>
      </c>
      <c r="C76" s="23" t="s">
        <v>916</v>
      </c>
      <c r="D76" s="23" t="s">
        <v>917</v>
      </c>
      <c r="E76" s="23" t="s">
        <v>918</v>
      </c>
      <c r="F76" s="23"/>
    </row>
    <row r="77" spans="1:6" ht="25.05" customHeight="1">
      <c r="A77" s="69" t="s">
        <v>430</v>
      </c>
      <c r="B77" s="69" t="s">
        <v>430</v>
      </c>
      <c r="C77" s="23" t="s">
        <v>919</v>
      </c>
      <c r="D77" s="23" t="s">
        <v>920</v>
      </c>
      <c r="E77" s="23" t="s">
        <v>921</v>
      </c>
      <c r="F77" s="23"/>
    </row>
  </sheetData>
  <phoneticPr fontId="31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0" sqref="E10"/>
    </sheetView>
  </sheetViews>
  <sheetFormatPr defaultColWidth="8.6640625" defaultRowHeight="14.4"/>
  <cols>
    <col min="1" max="1" width="6" customWidth="1"/>
    <col min="2" max="2" width="8" customWidth="1"/>
    <col min="3" max="3" width="18" customWidth="1"/>
    <col min="4" max="4" width="20" customWidth="1"/>
    <col min="5" max="5" width="18" customWidth="1"/>
    <col min="6" max="6" width="20" customWidth="1"/>
    <col min="7" max="7" width="18" customWidth="1"/>
    <col min="8" max="8" width="20" customWidth="1"/>
    <col min="9" max="9" width="18" customWidth="1"/>
    <col min="10" max="12" width="20" customWidth="1"/>
    <col min="13" max="13" width="10" customWidth="1"/>
    <col min="14" max="14" width="60" customWidth="1"/>
  </cols>
  <sheetData>
    <row r="1" spans="1:14" ht="17.399999999999999">
      <c r="A1" s="3" t="s">
        <v>107</v>
      </c>
    </row>
    <row r="2" spans="1:14">
      <c r="A2" s="4" t="s">
        <v>108</v>
      </c>
    </row>
    <row r="3" spans="1:14">
      <c r="A3" s="4" t="s">
        <v>109</v>
      </c>
    </row>
    <row r="5" spans="1:14" ht="36" customHeight="1">
      <c r="A5" s="5" t="s">
        <v>0</v>
      </c>
      <c r="B5" s="5" t="s">
        <v>1</v>
      </c>
      <c r="C5" s="5" t="s">
        <v>110</v>
      </c>
      <c r="D5" s="6" t="s">
        <v>111</v>
      </c>
      <c r="E5" s="5" t="s">
        <v>112</v>
      </c>
      <c r="F5" s="6" t="s">
        <v>113</v>
      </c>
      <c r="G5" s="5" t="s">
        <v>114</v>
      </c>
      <c r="H5" s="6" t="s">
        <v>115</v>
      </c>
      <c r="I5" s="5" t="s">
        <v>116</v>
      </c>
      <c r="J5" s="6" t="s">
        <v>117</v>
      </c>
      <c r="K5" s="5" t="s">
        <v>18</v>
      </c>
      <c r="L5" s="6" t="s">
        <v>118</v>
      </c>
      <c r="M5" s="7" t="s">
        <v>119</v>
      </c>
      <c r="N5" s="7" t="s">
        <v>120</v>
      </c>
    </row>
    <row r="6" spans="1:14" ht="30" customHeight="1">
      <c r="A6" s="8">
        <v>3</v>
      </c>
      <c r="B6" s="8" t="s">
        <v>24</v>
      </c>
      <c r="C6" s="1" t="s">
        <v>121</v>
      </c>
      <c r="D6" s="9" t="s">
        <v>122</v>
      </c>
      <c r="E6" s="9"/>
      <c r="F6" s="9"/>
      <c r="G6" s="9"/>
      <c r="H6" s="9"/>
      <c r="I6" s="9"/>
      <c r="J6" s="9"/>
      <c r="K6" s="10" t="s">
        <v>123</v>
      </c>
      <c r="L6" s="11" t="s">
        <v>124</v>
      </c>
      <c r="M6" s="12" t="str">
        <f t="shared" ref="M6:M24" si="0">HYPERLINK(N6,"지도 열기")</f>
        <v>지도 열기</v>
      </c>
      <c r="N6" s="13" t="str">
        <f t="shared" ref="N6:N24" si="1">"https://www.google.com/maps/dir/?api=1&amp;travelmode=walking&amp;origin="&amp;SUBSTITUTE(D6," ","")&amp;"&amp;destination="&amp;SUBSTITUTE(L6," ","")&amp;IF(F6="","","&amp;waypoints="&amp;SUBSTITUTE(F6," ",""))&amp;IF(H6="","","%7C"&amp;SUBSTITUTE(H6," ",""))&amp;IF(J6="","","%7C"&amp;SUBSTITUTE(J6," ",""))</f>
        <v>https://www.google.com/maps/dir/?api=1&amp;travelmode=walking&amp;origin=35.3114,139.3133&amp;destination=35.2559,139.1577</v>
      </c>
    </row>
    <row r="7" spans="1:14" ht="30" customHeight="1">
      <c r="A7" s="8">
        <v>4</v>
      </c>
      <c r="B7" s="8" t="s">
        <v>28</v>
      </c>
      <c r="C7" s="2" t="str">
        <f t="shared" ref="C7:D14" si="2">K6</f>
        <v>호텔 포쉬 오다와라 (숙소)</v>
      </c>
      <c r="D7" s="2" t="str">
        <f t="shared" si="2"/>
        <v>35.2559,139.1577</v>
      </c>
      <c r="E7" s="1" t="s">
        <v>125</v>
      </c>
      <c r="F7" s="9" t="s">
        <v>126</v>
      </c>
      <c r="G7" s="1" t="s">
        <v>127</v>
      </c>
      <c r="H7" s="9" t="s">
        <v>128</v>
      </c>
      <c r="I7" s="1" t="s">
        <v>129</v>
      </c>
      <c r="J7" s="9" t="s">
        <v>130</v>
      </c>
      <c r="K7" s="11" t="s">
        <v>131</v>
      </c>
      <c r="L7" s="11" t="s">
        <v>132</v>
      </c>
      <c r="M7" s="12" t="str">
        <f t="shared" si="0"/>
        <v>지도 열기</v>
      </c>
      <c r="N7" s="13" t="str">
        <f t="shared" si="1"/>
        <v>https://www.google.com/maps/dir/?api=1&amp;travelmode=walking&amp;origin=35.2559,139.1577&amp;destination=35.2041,139.0327&amp;waypoints=35.2333,139.1036%7C35.213,139.0631%7C35.2022,139.0488</v>
      </c>
    </row>
    <row r="8" spans="1:14" ht="30" customHeight="1">
      <c r="A8" s="8">
        <v>6</v>
      </c>
      <c r="B8" s="8" t="s">
        <v>35</v>
      </c>
      <c r="C8" s="2" t="str">
        <f t="shared" si="2"/>
        <v>RoheN ASHINOKO (숙소)</v>
      </c>
      <c r="D8" s="2" t="str">
        <f t="shared" si="2"/>
        <v>35.2041,139.0327</v>
      </c>
      <c r="E8" s="1" t="s">
        <v>133</v>
      </c>
      <c r="F8" s="9" t="s">
        <v>134</v>
      </c>
      <c r="G8" s="1" t="s">
        <v>135</v>
      </c>
      <c r="H8" s="9" t="s">
        <v>136</v>
      </c>
      <c r="I8" s="1" t="s">
        <v>137</v>
      </c>
      <c r="J8" s="9" t="s">
        <v>138</v>
      </c>
      <c r="K8" s="11" t="s">
        <v>139</v>
      </c>
      <c r="L8" s="11" t="s">
        <v>140</v>
      </c>
      <c r="M8" s="12" t="str">
        <f t="shared" si="0"/>
        <v>지도 열기</v>
      </c>
      <c r="N8" s="13" t="str">
        <f t="shared" si="1"/>
        <v>https://www.google.com/maps/dir/?api=1&amp;travelmode=walking&amp;origin=35.2041,139.0327&amp;destination=35.1243,138.9081&amp;waypoints=35.1924,139.0262%7C35.1824,139.014%7C35.1566,138.9943</v>
      </c>
    </row>
    <row r="9" spans="1:14" ht="30" customHeight="1">
      <c r="A9" s="8">
        <v>7</v>
      </c>
      <c r="B9" s="8" t="s">
        <v>39</v>
      </c>
      <c r="C9" s="2" t="str">
        <f t="shared" si="2"/>
        <v>Hotel Gee Haive (숙소)</v>
      </c>
      <c r="D9" s="2" t="str">
        <f t="shared" si="2"/>
        <v>35.1243,138.9081</v>
      </c>
      <c r="E9" s="1" t="s">
        <v>141</v>
      </c>
      <c r="F9" s="9" t="s">
        <v>142</v>
      </c>
      <c r="G9" s="1" t="s">
        <v>143</v>
      </c>
      <c r="H9" s="9" t="s">
        <v>144</v>
      </c>
      <c r="I9" s="1" t="s">
        <v>145</v>
      </c>
      <c r="J9" s="9" t="s">
        <v>146</v>
      </c>
      <c r="K9" s="10" t="s">
        <v>147</v>
      </c>
      <c r="L9" s="11" t="s">
        <v>148</v>
      </c>
      <c r="M9" s="12" t="str">
        <f t="shared" si="0"/>
        <v>지도 열기</v>
      </c>
      <c r="N9" s="13" t="str">
        <f t="shared" si="1"/>
        <v>https://www.google.com/maps/dir/?api=1&amp;travelmode=walking&amp;origin=35.1243,138.9081&amp;destination=35.1604,138.6768&amp;waypoints=35.095,138.8564%7C35.1184,138.8072%7C35.1249,138.7938</v>
      </c>
    </row>
    <row r="10" spans="1:14" ht="30" customHeight="1">
      <c r="A10" s="8">
        <v>8</v>
      </c>
      <c r="B10" s="8" t="s">
        <v>42</v>
      </c>
      <c r="C10" s="2" t="str">
        <f t="shared" si="2"/>
        <v>호텔 니시무라 (숙소)</v>
      </c>
      <c r="D10" s="2" t="str">
        <f t="shared" si="2"/>
        <v>35.1604,138.6768</v>
      </c>
      <c r="E10" s="1" t="s">
        <v>149</v>
      </c>
      <c r="F10" s="9" t="s">
        <v>150</v>
      </c>
      <c r="G10" s="1" t="s">
        <v>151</v>
      </c>
      <c r="H10" s="9" t="s">
        <v>152</v>
      </c>
      <c r="I10" s="1" t="s">
        <v>153</v>
      </c>
      <c r="J10" s="9" t="s">
        <v>154</v>
      </c>
      <c r="K10" s="10" t="s">
        <v>155</v>
      </c>
      <c r="L10" s="11" t="s">
        <v>156</v>
      </c>
      <c r="M10" s="12" t="str">
        <f t="shared" si="0"/>
        <v>지도 열기</v>
      </c>
      <c r="N10" s="13" t="str">
        <f t="shared" si="1"/>
        <v>https://www.google.com/maps/dir/?api=1&amp;travelmode=walking&amp;origin=35.1604,138.6768&amp;destination=35.0569,138.5331&amp;waypoints=35.1549,138.6239%7C35.1076,138.5672%7C35.0715,138.5413</v>
      </c>
    </row>
    <row r="11" spans="1:14" ht="30" customHeight="1">
      <c r="A11" s="8">
        <v>10</v>
      </c>
      <c r="B11" s="8" t="s">
        <v>46</v>
      </c>
      <c r="C11" s="2" t="str">
        <f t="shared" si="2"/>
        <v>쿠어 앤 호텔 스루가 (숙소)</v>
      </c>
      <c r="D11" s="2" t="str">
        <f t="shared" si="2"/>
        <v>35.0569,138.5331</v>
      </c>
      <c r="E11" s="1" t="s">
        <v>157</v>
      </c>
      <c r="F11" s="9" t="s">
        <v>158</v>
      </c>
      <c r="G11" s="1" t="s">
        <v>159</v>
      </c>
      <c r="H11" s="9" t="s">
        <v>160</v>
      </c>
      <c r="I11" s="1" t="s">
        <v>161</v>
      </c>
      <c r="J11" s="9" t="s">
        <v>162</v>
      </c>
      <c r="K11" s="10" t="s">
        <v>163</v>
      </c>
      <c r="L11" s="11" t="s">
        <v>164</v>
      </c>
      <c r="M11" s="12" t="str">
        <f t="shared" si="0"/>
        <v>지도 열기</v>
      </c>
      <c r="N11" s="13" t="str">
        <f t="shared" si="1"/>
        <v>https://www.google.com/maps/dir/?api=1&amp;travelmode=walking&amp;origin=35.0569,138.5331&amp;destination=34.9721,138.3849&amp;waypoints=35.0232,138.4889%7C35.0059,138.453%7C34.9751,138.3816</v>
      </c>
    </row>
    <row r="12" spans="1:14" ht="30" customHeight="1">
      <c r="A12" s="8">
        <v>11</v>
      </c>
      <c r="B12" s="8" t="s">
        <v>47</v>
      </c>
      <c r="C12" s="2" t="str">
        <f t="shared" si="2"/>
        <v>호텔 가든 스퀘어 시즈오카 (숙소)</v>
      </c>
      <c r="D12" s="2" t="str">
        <f t="shared" si="2"/>
        <v>34.9721,138.3849</v>
      </c>
      <c r="E12" s="1" t="s">
        <v>165</v>
      </c>
      <c r="F12" s="9" t="s">
        <v>166</v>
      </c>
      <c r="G12" s="1" t="s">
        <v>167</v>
      </c>
      <c r="H12" s="9" t="s">
        <v>168</v>
      </c>
      <c r="I12" s="1" t="s">
        <v>169</v>
      </c>
      <c r="J12" s="9" t="s">
        <v>170</v>
      </c>
      <c r="K12" s="10" t="s">
        <v>171</v>
      </c>
      <c r="L12" s="11" t="s">
        <v>172</v>
      </c>
      <c r="M12" s="12" t="str">
        <f t="shared" si="0"/>
        <v>지도 열기</v>
      </c>
      <c r="N12" s="13" t="str">
        <f t="shared" si="1"/>
        <v>https://www.google.com/maps/dir/?api=1&amp;travelmode=walking&amp;origin=34.9721,138.3849&amp;destination=34.8479,138.2561&amp;waypoints=34.9522,138.3341%7C34.936,138.3042%7C34.9194,138.2827</v>
      </c>
    </row>
    <row r="13" spans="1:14" ht="30" customHeight="1">
      <c r="A13" s="8">
        <v>12</v>
      </c>
      <c r="B13" s="8" t="s">
        <v>49</v>
      </c>
      <c r="C13" s="2" t="str">
        <f t="shared" si="2"/>
        <v>호텔 슈퍼 도마리 (숙소)</v>
      </c>
      <c r="D13" s="2" t="str">
        <f t="shared" si="2"/>
        <v>34.8479,138.2561</v>
      </c>
      <c r="E13" s="9"/>
      <c r="F13" s="9"/>
      <c r="G13" s="9"/>
      <c r="H13" s="9"/>
      <c r="I13" s="9"/>
      <c r="J13" s="9"/>
      <c r="K13" s="10" t="s">
        <v>173</v>
      </c>
      <c r="L13" s="11" t="s">
        <v>174</v>
      </c>
      <c r="M13" s="12" t="str">
        <f t="shared" si="0"/>
        <v>지도 열기</v>
      </c>
      <c r="N13" s="13" t="str">
        <f t="shared" si="1"/>
        <v>https://www.google.com/maps/dir/?api=1&amp;travelmode=walking&amp;origin=34.8479,138.2561&amp;destination=34.8328,138.1776</v>
      </c>
    </row>
    <row r="14" spans="1:14" ht="30" customHeight="1">
      <c r="A14" s="8">
        <v>13</v>
      </c>
      <c r="B14" s="8" t="s">
        <v>51</v>
      </c>
      <c r="C14" s="2" t="str">
        <f t="shared" si="2"/>
        <v>호텔 루트인 시마다 에키마에 (숙소)</v>
      </c>
      <c r="D14" s="2" t="str">
        <f t="shared" si="2"/>
        <v>34.8328,138.1776</v>
      </c>
      <c r="E14" s="1" t="s">
        <v>175</v>
      </c>
      <c r="F14" s="9" t="s">
        <v>176</v>
      </c>
      <c r="G14" s="1" t="s">
        <v>177</v>
      </c>
      <c r="H14" s="9" t="s">
        <v>178</v>
      </c>
      <c r="I14" s="1" t="s">
        <v>179</v>
      </c>
      <c r="J14" s="9" t="s">
        <v>180</v>
      </c>
      <c r="K14" s="10" t="s">
        <v>181</v>
      </c>
      <c r="L14" s="11" t="s">
        <v>182</v>
      </c>
      <c r="M14" s="12" t="str">
        <f t="shared" si="0"/>
        <v>지도 열기</v>
      </c>
      <c r="N14" s="13" t="str">
        <f t="shared" si="1"/>
        <v>https://www.google.com/maps/dir/?api=1&amp;travelmode=walking&amp;origin=34.8328,138.1776&amp;destination=34.7732,138.0184&amp;waypoints=34.825,138.1847%7C34.8156,138.1239%7C34.8027,138.0762</v>
      </c>
    </row>
    <row r="15" spans="1:14" ht="30" customHeight="1">
      <c r="A15" s="8">
        <v>14</v>
      </c>
      <c r="B15" s="8" t="s">
        <v>53</v>
      </c>
      <c r="C15" s="1" t="s">
        <v>183</v>
      </c>
      <c r="D15" s="9" t="s">
        <v>184</v>
      </c>
      <c r="E15" s="1" t="s">
        <v>185</v>
      </c>
      <c r="F15" s="9" t="s">
        <v>186</v>
      </c>
      <c r="G15" s="1" t="s">
        <v>187</v>
      </c>
      <c r="H15" s="9" t="s">
        <v>188</v>
      </c>
      <c r="I15" s="1" t="s">
        <v>189</v>
      </c>
      <c r="J15" s="9" t="s">
        <v>190</v>
      </c>
      <c r="K15" s="10" t="s">
        <v>191</v>
      </c>
      <c r="L15" s="11" t="s">
        <v>192</v>
      </c>
      <c r="M15" s="12" t="str">
        <f t="shared" si="0"/>
        <v>지도 열기</v>
      </c>
      <c r="N15" s="13" t="str">
        <f t="shared" si="1"/>
        <v>https://www.google.com/maps/dir/?api=1&amp;travelmode=walking&amp;origin=34.7042,137.7345&amp;destination=34.7147,137.5456&amp;waypoints=34.6837,137.6222%7C34.6907,137.6066%7C34.6947,137.5613</v>
      </c>
    </row>
    <row r="16" spans="1:14" ht="30" customHeight="1">
      <c r="A16" s="8">
        <v>16</v>
      </c>
      <c r="B16" s="8" t="s">
        <v>56</v>
      </c>
      <c r="C16" s="2" t="str">
        <f>K15</f>
        <v>호텔 난반 하마나코 (숙소)</v>
      </c>
      <c r="D16" s="2" t="str">
        <f>L15</f>
        <v>34.7147,137.5456</v>
      </c>
      <c r="E16" s="1" t="s">
        <v>193</v>
      </c>
      <c r="F16" s="9" t="s">
        <v>194</v>
      </c>
      <c r="G16" s="1" t="s">
        <v>195</v>
      </c>
      <c r="H16" s="9" t="s">
        <v>196</v>
      </c>
      <c r="I16" s="9"/>
      <c r="J16" s="9"/>
      <c r="K16" s="10" t="s">
        <v>197</v>
      </c>
      <c r="L16" s="11" t="s">
        <v>198</v>
      </c>
      <c r="M16" s="12" t="str">
        <f t="shared" si="0"/>
        <v>지도 열기</v>
      </c>
      <c r="N16" s="13" t="str">
        <f t="shared" si="1"/>
        <v>https://www.google.com/maps/dir/?api=1&amp;travelmode=walking&amp;origin=34.7147,137.5456&amp;destination=34.7632,137.3827&amp;waypoints=34.6815,137.5112%7C34.7234,137.4499</v>
      </c>
    </row>
    <row r="17" spans="1:14" ht="30" customHeight="1">
      <c r="A17" s="8">
        <v>17</v>
      </c>
      <c r="B17" s="8" t="s">
        <v>59</v>
      </c>
      <c r="C17" s="2" t="str">
        <f>K16</f>
        <v>호텔 어소시아 도요하시 (숙소)</v>
      </c>
      <c r="D17" s="2" t="str">
        <f>L16</f>
        <v>34.7632,137.3827</v>
      </c>
      <c r="E17" s="1" t="s">
        <v>199</v>
      </c>
      <c r="F17" s="9" t="s">
        <v>200</v>
      </c>
      <c r="G17" s="9"/>
      <c r="H17" s="9"/>
      <c r="I17" s="9"/>
      <c r="J17" s="9"/>
      <c r="K17" s="1" t="s">
        <v>201</v>
      </c>
      <c r="L17" s="9" t="s">
        <v>202</v>
      </c>
      <c r="M17" s="12" t="str">
        <f t="shared" si="0"/>
        <v>지도 열기</v>
      </c>
      <c r="N17" s="13" t="str">
        <f t="shared" si="1"/>
        <v>https://www.google.com/maps/dir/?api=1&amp;travelmode=walking&amp;origin=34.7632,137.3827&amp;destination=34.8591,137.3114&amp;waypoints=34.8511,137.3125</v>
      </c>
    </row>
    <row r="18" spans="1:14" ht="30" customHeight="1">
      <c r="A18" s="8">
        <v>18</v>
      </c>
      <c r="B18" s="8" t="s">
        <v>61</v>
      </c>
      <c r="C18" s="1" t="s">
        <v>201</v>
      </c>
      <c r="D18" s="9" t="s">
        <v>202</v>
      </c>
      <c r="E18" s="1" t="s">
        <v>203</v>
      </c>
      <c r="F18" s="9" t="s">
        <v>204</v>
      </c>
      <c r="G18" s="1" t="s">
        <v>205</v>
      </c>
      <c r="H18" s="9" t="s">
        <v>206</v>
      </c>
      <c r="I18" s="9"/>
      <c r="J18" s="9"/>
      <c r="K18" s="10" t="s">
        <v>207</v>
      </c>
      <c r="L18" s="11" t="s">
        <v>208</v>
      </c>
      <c r="M18" s="12" t="str">
        <f t="shared" si="0"/>
        <v>지도 열기</v>
      </c>
      <c r="N18" s="13" t="str">
        <f t="shared" si="1"/>
        <v>https://www.google.com/maps/dir/?api=1&amp;travelmode=walking&amp;origin=34.8591,137.3114&amp;destination=34.9557,137.169&amp;waypoints=34.9113,137.2221%7C34.9563,137.1588</v>
      </c>
    </row>
    <row r="19" spans="1:14" ht="30" customHeight="1">
      <c r="A19" s="8">
        <v>19</v>
      </c>
      <c r="B19" s="8" t="s">
        <v>63</v>
      </c>
      <c r="C19" s="1" t="s">
        <v>209</v>
      </c>
      <c r="D19" s="9" t="s">
        <v>210</v>
      </c>
      <c r="E19" s="1" t="s">
        <v>65</v>
      </c>
      <c r="F19" s="9" t="s">
        <v>211</v>
      </c>
      <c r="G19" s="1" t="s">
        <v>212</v>
      </c>
      <c r="H19" s="9" t="s">
        <v>213</v>
      </c>
      <c r="I19" s="9"/>
      <c r="J19" s="9"/>
      <c r="K19" s="1" t="s">
        <v>214</v>
      </c>
      <c r="L19" s="9" t="s">
        <v>215</v>
      </c>
      <c r="M19" s="12" t="str">
        <f t="shared" si="0"/>
        <v>지도 열기</v>
      </c>
      <c r="N19" s="13" t="str">
        <f t="shared" si="1"/>
        <v>https://www.google.com/maps/dir/?api=1&amp;travelmode=walking&amp;origin=35.0059,137.0397&amp;destination=35.1243,136.9089&amp;waypoints=35.0674,136.9701%7C35.0785,136.9507</v>
      </c>
    </row>
    <row r="20" spans="1:14" ht="30" customHeight="1">
      <c r="A20" s="8">
        <v>21</v>
      </c>
      <c r="B20" s="8" t="s">
        <v>68</v>
      </c>
      <c r="C20" s="1" t="s">
        <v>216</v>
      </c>
      <c r="D20" s="9" t="s">
        <v>217</v>
      </c>
      <c r="E20" s="1" t="s">
        <v>218</v>
      </c>
      <c r="F20" s="9" t="s">
        <v>219</v>
      </c>
      <c r="G20" s="1" t="s">
        <v>220</v>
      </c>
      <c r="H20" s="9" t="s">
        <v>221</v>
      </c>
      <c r="I20" s="9"/>
      <c r="J20" s="9"/>
      <c r="K20" s="10" t="s">
        <v>222</v>
      </c>
      <c r="L20" s="11" t="s">
        <v>223</v>
      </c>
      <c r="M20" s="12" t="str">
        <f t="shared" si="0"/>
        <v>지도 열기</v>
      </c>
      <c r="N20" s="13" t="str">
        <f t="shared" si="1"/>
        <v>https://www.google.com/maps/dir/?api=1&amp;travelmode=walking&amp;origin=34.8905,136.5303&amp;destination=34.8567,136.4112&amp;waypoints=34.8846,136.5256%7C34.8561,136.4507</v>
      </c>
    </row>
    <row r="21" spans="1:14" ht="30" customHeight="1">
      <c r="A21" s="8">
        <v>22</v>
      </c>
      <c r="B21" s="8" t="s">
        <v>70</v>
      </c>
      <c r="C21" s="2" t="str">
        <f>K20</f>
        <v>칸데오 호텔 가메야마 (숙소)</v>
      </c>
      <c r="D21" s="2" t="str">
        <f>L20</f>
        <v>34.8567,136.4112</v>
      </c>
      <c r="E21" s="1" t="s">
        <v>224</v>
      </c>
      <c r="F21" s="9" t="s">
        <v>225</v>
      </c>
      <c r="G21" s="1" t="s">
        <v>226</v>
      </c>
      <c r="H21" s="9" t="s">
        <v>227</v>
      </c>
      <c r="I21" s="1" t="s">
        <v>228</v>
      </c>
      <c r="J21" s="9" t="s">
        <v>229</v>
      </c>
      <c r="K21" s="1" t="s">
        <v>230</v>
      </c>
      <c r="L21" s="9" t="s">
        <v>231</v>
      </c>
      <c r="M21" s="12" t="str">
        <f t="shared" si="0"/>
        <v>지도 열기</v>
      </c>
      <c r="N21" s="13" t="str">
        <f t="shared" si="1"/>
        <v>https://www.google.com/maps/dir/?api=1&amp;travelmode=walking&amp;origin=34.8567,136.4112&amp;destination=34.9355,136.2833&amp;waypoints=34.8526,136.3918%7C34.8885,136.3543%7C34.8939,136.3368</v>
      </c>
    </row>
    <row r="22" spans="1:14" ht="30" customHeight="1">
      <c r="A22" s="8">
        <v>23</v>
      </c>
      <c r="B22" s="8" t="s">
        <v>73</v>
      </c>
      <c r="C22" s="10" t="s">
        <v>232</v>
      </c>
      <c r="D22" s="11" t="s">
        <v>233</v>
      </c>
      <c r="E22" s="1" t="s">
        <v>234</v>
      </c>
      <c r="F22" s="9" t="s">
        <v>235</v>
      </c>
      <c r="G22" s="1" t="s">
        <v>236</v>
      </c>
      <c r="H22" s="9" t="s">
        <v>237</v>
      </c>
      <c r="I22" s="9"/>
      <c r="J22" s="9"/>
      <c r="K22" s="10" t="s">
        <v>238</v>
      </c>
      <c r="L22" s="11" t="s">
        <v>239</v>
      </c>
      <c r="M22" s="12" t="str">
        <f t="shared" si="0"/>
        <v>지도 열기</v>
      </c>
      <c r="N22" s="13" t="str">
        <f t="shared" si="1"/>
        <v>https://www.google.com/maps/dir/?api=1&amp;travelmode=walking&amp;origin=34.9778,136.173&amp;destination=35.0228,135.9607&amp;waypoints=35.0177,136.053%7C35.0178,135.9603</v>
      </c>
    </row>
    <row r="23" spans="1:14" ht="30" customHeight="1">
      <c r="A23" s="8">
        <v>24</v>
      </c>
      <c r="B23" s="8" t="s">
        <v>75</v>
      </c>
      <c r="C23" s="2" t="str">
        <f>K22</f>
        <v>호텔 보스턴 플라자 구사쓰 (숙소)</v>
      </c>
      <c r="D23" s="2" t="str">
        <f>L22</f>
        <v>35.0228,135.9607</v>
      </c>
      <c r="E23" s="1" t="s">
        <v>240</v>
      </c>
      <c r="F23" s="9" t="s">
        <v>241</v>
      </c>
      <c r="G23" s="9"/>
      <c r="H23" s="9"/>
      <c r="I23" s="9"/>
      <c r="J23" s="9"/>
      <c r="K23" s="10" t="s">
        <v>242</v>
      </c>
      <c r="L23" s="11" t="s">
        <v>243</v>
      </c>
      <c r="M23" s="12" t="str">
        <f t="shared" si="0"/>
        <v>지도 열기</v>
      </c>
      <c r="N23" s="13" t="str">
        <f t="shared" si="1"/>
        <v>https://www.google.com/maps/dir/?api=1&amp;travelmode=walking&amp;origin=35.0228,135.9607&amp;destination=34.9786,135.9005&amp;waypoints=34.973,135.9067</v>
      </c>
    </row>
    <row r="24" spans="1:14" ht="30" customHeight="1">
      <c r="A24" s="8">
        <v>25</v>
      </c>
      <c r="B24" s="8" t="s">
        <v>76</v>
      </c>
      <c r="C24" s="2" t="str">
        <f>K23</f>
        <v>르 락 호텔 오쓰 이시야마 (숙소)</v>
      </c>
      <c r="D24" s="2" t="str">
        <f>L23</f>
        <v>34.9786,135.9005</v>
      </c>
      <c r="E24" s="1" t="s">
        <v>244</v>
      </c>
      <c r="F24" s="9" t="s">
        <v>245</v>
      </c>
      <c r="G24" s="1" t="s">
        <v>246</v>
      </c>
      <c r="H24" s="9" t="s">
        <v>247</v>
      </c>
      <c r="I24" s="1" t="s">
        <v>248</v>
      </c>
      <c r="J24" s="9" t="s">
        <v>249</v>
      </c>
      <c r="K24" s="10" t="s">
        <v>250</v>
      </c>
      <c r="L24" s="11" t="s">
        <v>251</v>
      </c>
      <c r="M24" s="12" t="str">
        <f t="shared" si="0"/>
        <v>지도 열기</v>
      </c>
      <c r="N24" s="13" t="str">
        <f t="shared" si="1"/>
        <v>https://www.google.com/maps/dir/?api=1&amp;travelmode=walking&amp;origin=34.9786,135.9005&amp;destination=34.9963,135.7648&amp;waypoints=34.9942,135.8556%7C35.0106,135.7889%7C35.009,135.7716</v>
      </c>
    </row>
  </sheetData>
  <phoneticPr fontId="31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전체 일정</vt:lpstr>
      <vt:lpstr>이동 상세</vt:lpstr>
      <vt:lpstr>여행 전 알아둘 것</vt:lpstr>
      <vt:lpstr>일본어</vt:lpstr>
      <vt:lpstr>경로 좌표</vt:lpstr>
      <vt:lpstr>'경로 좌표'!Print_Titles</vt:lpstr>
      <vt:lpstr>'여행 전 알아둘 것'!Print_Titles</vt:lpstr>
      <vt:lpstr>'이동 상세'!Print_Titles</vt:lpstr>
      <vt:lpstr>일본어!Print_Titles</vt:lpstr>
      <vt:lpstr>'전체 일정'!Print_Titles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호경 유</cp:lastModifiedBy>
  <cp:revision>0</cp:revision>
  <cp:lastPrinted>2026-10-27T04:57:37Z</cp:lastPrinted>
  <dcterms:created xsi:type="dcterms:W3CDTF">2026-10-26T03:36:11Z</dcterms:created>
  <dcterms:modified xsi:type="dcterms:W3CDTF">2026-10-27T05:10:38Z</dcterms:modified>
  <dc:language>en-US</dc:language>
</cp:coreProperties>
</file>